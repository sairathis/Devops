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60-Day Plan" sheetId="2" state="visible" r:id="rId4"/>
    <sheet name="AI Prompts" sheetId="3" state="visible" r:id="rId5"/>
    <sheet name="Resources" sheetId="4" state="visible" r:id="rId6"/>
    <sheet name="Band Conversion" sheetId="5" state="visible" r:id="rId7"/>
    <sheet name="Mock Score Tracker" sheetId="6" state="visible" r:id="rId8"/>
    <sheet name="Speaking AI Log" sheetId="7" state="visible" r:id="rId9"/>
    <sheet name="Error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Assumption: exam ~1 day after Session 60. Replace with the booked date.</t>
        </r>
      </text>
    </comment>
  </commentList>
</comments>
</file>

<file path=xl/sharedStrings.xml><?xml version="1.0" encoding="utf-8"?>
<sst xmlns="http://schemas.openxmlformats.org/spreadsheetml/2006/main" count="611" uniqueCount="480">
  <si>
    <t xml:space="preserve">IELTS Academic (Computer) - 60-Day Self-Study Plan for Band 7</t>
  </si>
  <si>
    <t xml:space="preserve">Self-study, 3 hours a day. ChatGPT and Gemini act as Speaking and Writing examiner.</t>
  </si>
  <si>
    <t xml:space="preserve">Plan start date (edit)</t>
  </si>
  <si>
    <t xml:space="preserve">Every date in the plan updates from this cell.</t>
  </si>
  <si>
    <t xml:space="preserve">Exam date (edit)</t>
  </si>
  <si>
    <t xml:space="preserve">Book a computer slot for 14-20 Dec 2026 now; enter the real date here.</t>
  </si>
  <si>
    <t xml:space="preserve">Days left to exam</t>
  </si>
  <si>
    <t xml:space="preserve">Counts down automatically.</t>
  </si>
  <si>
    <t xml:space="preserve">Target overall band</t>
  </si>
  <si>
    <t xml:space="preserve">Also check each employer/regulator's minimum per skill (UK, Ireland, NZ).</t>
  </si>
  <si>
    <t xml:space="preserve">Sessions completed</t>
  </si>
  <si>
    <t xml:space="preserve">From the Done column of the 60-Day Plan.</t>
  </si>
  <si>
    <t xml:space="preserve">The daily 3-hour session</t>
  </si>
  <si>
    <t xml:space="preserve">Block</t>
  </si>
  <si>
    <t xml:space="preserve">Minutes</t>
  </si>
  <si>
    <t xml:space="preserve">What she does</t>
  </si>
  <si>
    <t xml:space="preserve">1. Warm-up</t>
  </si>
  <si>
    <t xml:space="preserve">10 min typing (monkeytype/keybr) + 5 min revise spelling/error list</t>
  </si>
  <si>
    <t xml:space="preserve">2. Listening</t>
  </si>
  <si>
    <t xml:space="preserve">Practice on screen, answers typed directly, no pausing</t>
  </si>
  <si>
    <t xml:space="preserve">3. Reading</t>
  </si>
  <si>
    <t xml:space="preserve">Passage or test on screen, using highlight and flag tools</t>
  </si>
  <si>
    <t xml:space="preserve">4. Writing</t>
  </si>
  <si>
    <t xml:space="preserve">Task 1 or Task 2 typed with word count, then AI Prompt 3</t>
  </si>
  <si>
    <t xml:space="preserve">5. Speaking</t>
  </si>
  <si>
    <t xml:space="preserve">Recorded answers, marked by ChatGPT or Gemini (Prompts 1-2)</t>
  </si>
  <si>
    <t xml:space="preserve">6. Review</t>
  </si>
  <si>
    <t xml:space="preserve">Add every mistake to the Error Log; write 3 lessons learned</t>
  </si>
  <si>
    <t xml:space="preserve">Total</t>
  </si>
  <si>
    <t xml:space="preserve">Working days: blocks 1-3 before work (1.5 hrs), blocks 4-6 after work (1.5 hrs).</t>
  </si>
  <si>
    <t xml:space="preserve">Rules for AI scoring</t>
  </si>
  <si>
    <t xml:space="preserve">1. Always paste the same prompt (AI Prompts sheet) so scores are comparable.</t>
  </si>
  <si>
    <t xml:space="preserve">2. Speaking: use voice mode, then ask for transcript + score. Also record on the phone and replay.</t>
  </si>
  <si>
    <t xml:space="preserve">3. Never memorise AI-written answers; examiners lower the score for memorised answers.</t>
  </si>
  <si>
    <t xml:space="preserve">4. Score the same piece in ChatGPT and Gemini weekly; if they differ, use the LOWER band.</t>
  </si>
  <si>
    <t xml:space="preserve">5. Computer Speaking in India is a live interview with an examiner, often by video call: practise out loud.</t>
  </si>
  <si>
    <t xml:space="preserve">Legend</t>
  </si>
  <si>
    <t xml:space="preserve">Yellow cell, blue text</t>
  </si>
  <si>
    <t xml:space="preserve">You type here (inputs)</t>
  </si>
  <si>
    <t xml:space="preserve">Green row</t>
  </si>
  <si>
    <t xml:space="preserve">Full mock test session</t>
  </si>
  <si>
    <t xml:space="preserve">Blue row</t>
  </si>
  <si>
    <t xml:space="preserve">Light / rest session</t>
  </si>
  <si>
    <t xml:space="preserve">Codes like FAM, BC-L, CAM, LIZ are explained on the Resources sheet (with links).</t>
  </si>
  <si>
    <t xml:space="preserve">60-Session Day-by-Day Plan (3 hrs/day)</t>
  </si>
  <si>
    <t xml:space="preserve">Mark 'Done' each night. Resource codes -&gt; Resources sheet. Prompts -&gt; AI Prompts sheet.</t>
  </si>
  <si>
    <t xml:space="preserve">#</t>
  </si>
  <si>
    <t xml:space="preserve">Date</t>
  </si>
  <si>
    <t xml:space="preserve">Phase</t>
  </si>
  <si>
    <t xml:space="preserve">Today's focus</t>
  </si>
  <si>
    <t xml:space="preserve">Listening (35m)</t>
  </si>
  <si>
    <t xml:space="preserve">Reading (40m)</t>
  </si>
  <si>
    <t xml:space="preserve">Writing (45m)</t>
  </si>
  <si>
    <t xml:space="preserve">Speaking with AI (35m)</t>
  </si>
  <si>
    <t xml:space="preserve">AI band today</t>
  </si>
  <si>
    <t xml:space="preserve">Done?</t>
  </si>
  <si>
    <t xml:space="preserve">Notes / 3 lessons</t>
  </si>
  <si>
    <t xml:space="preserve">Phase 1: Computer comfort + baseline</t>
  </si>
  <si>
    <t xml:space="preserve">MOCK 1: baseline</t>
  </si>
  <si>
    <t xml:space="preserve">FAM full Listening, typed</t>
  </si>
  <si>
    <t xml:space="preserve">FAM full Reading (60m, borrow from Writing)</t>
  </si>
  <si>
    <t xml:space="preserve">FAM Writing T1+T2 (60m), AI Prompt 3</t>
  </si>
  <si>
    <t xml:space="preserve">AI Prompt 1 full test; note band + filler counts</t>
  </si>
  <si>
    <t xml:space="preserve">Screen tools</t>
  </si>
  <si>
    <t xml:space="preserve">BC-L Section 1; practise Tab between boxes</t>
  </si>
  <si>
    <t xml:space="preserve">BC-R: highlight, notes, flag on 1 passage</t>
  </si>
  <si>
    <t xml:space="preserve">Learn T1 structure: intro, overview, 2 body paras</t>
  </si>
  <si>
    <t xml:space="preserve">Part 1 Home + Hometown (LIZ Part 1), Prompt 2</t>
  </si>
  <si>
    <t xml:space="preserve">Type and listen</t>
  </si>
  <si>
    <t xml:space="preserve">CAM Test 1 Sec 1+2, typed into a laptop document</t>
  </si>
  <si>
    <t xml:space="preserve">TFNG passage, 20m</t>
  </si>
  <si>
    <t xml:space="preserve">T2 opinion essay, plan 5m + type 35m, Prompt 3</t>
  </si>
  <si>
    <t xml:space="preserve">Part 1 Work + Free time; record and replay</t>
  </si>
  <si>
    <t xml:space="preserve">Spelling traps</t>
  </si>
  <si>
    <t xml:space="preserve">CAM Test 1 Sec 3+4; add every misspelling to error log</t>
  </si>
  <si>
    <t xml:space="preserve">Matching headings passage</t>
  </si>
  <si>
    <t xml:space="preserve">T1 line graph (BC-W), aim 170-190 words</t>
  </si>
  <si>
    <t xml:space="preserve">Part 2: describe a person (LIZ Part 2), 1m notes + 2m talk</t>
  </si>
  <si>
    <t xml:space="preserve">Paraphrase</t>
  </si>
  <si>
    <t xml:space="preserve">IDP-FAM Listening, focus on synonyms</t>
  </si>
  <si>
    <t xml:space="preserve">Sentence + summary completion</t>
  </si>
  <si>
    <t xml:space="preserve">T2 discuss both views</t>
  </si>
  <si>
    <t xml:space="preserve">Part 2: describe a place; Prompt 2 counts repeated words</t>
  </si>
  <si>
    <t xml:space="preserve">Writing on screen</t>
  </si>
  <si>
    <t xml:space="preserve">CAM Test 2 Sec 1+2</t>
  </si>
  <si>
    <t xml:space="preserve">Multiple choice passage</t>
  </si>
  <si>
    <t xml:space="preserve">T1 table; watch word counter</t>
  </si>
  <si>
    <t xml:space="preserve">Part 3: 'Why do you think...?' opinion + reason + example</t>
  </si>
  <si>
    <t xml:space="preserve">Light review</t>
  </si>
  <si>
    <t xml:space="preserve">Redo all wrong Listening answers with transcript</t>
  </si>
  <si>
    <t xml:space="preserve">Re-read hard TFNG questions</t>
  </si>
  <si>
    <t xml:space="preserve">Rewrite Session 1 essay using AI feedback</t>
  </si>
  <si>
    <t xml:space="preserve">BBC 6 Minute English: shadow 15m</t>
  </si>
  <si>
    <t xml:space="preserve">Listening accuracy</t>
  </si>
  <si>
    <t xml:space="preserve">CAM Test 2 full, no pause</t>
  </si>
  <si>
    <t xml:space="preserve">Matching information passage</t>
  </si>
  <si>
    <t xml:space="preserve">T2 problem-solution</t>
  </si>
  <si>
    <t xml:space="preserve">Part 1 x 8 questions, Prompt 2</t>
  </si>
  <si>
    <t xml:space="preserve">Reading speed</t>
  </si>
  <si>
    <t xml:space="preserve">CAM Test 2 Sec 3+4</t>
  </si>
  <si>
    <t xml:space="preserve">Full Reading, skim 2m per passage</t>
  </si>
  <si>
    <t xml:space="preserve">T1 bar chart</t>
  </si>
  <si>
    <t xml:space="preserve">Part 2: an object you use; Prompt 2</t>
  </si>
  <si>
    <t xml:space="preserve">Distractors</t>
  </si>
  <si>
    <t xml:space="preserve">BC-L full; mark where speakers change their mind</t>
  </si>
  <si>
    <t xml:space="preserve">TFNG + Yes/No/Not Given</t>
  </si>
  <si>
    <t xml:space="preserve">T2 advantages/disadvantages</t>
  </si>
  <si>
    <t xml:space="preserve">Part 3: Education + Technology</t>
  </si>
  <si>
    <t xml:space="preserve">Task 1 overview</t>
  </si>
  <si>
    <t xml:space="preserve">CAM Test 3 Sec 1+2</t>
  </si>
  <si>
    <t xml:space="preserve">Headings + paragraph matching</t>
  </si>
  <si>
    <t xml:space="preserve">T1 pie charts; overview with no numbers</t>
  </si>
  <si>
    <t xml:space="preserve">Full speaking test, Prompt 1 (voice)</t>
  </si>
  <si>
    <t xml:space="preserve">Fillers</t>
  </si>
  <si>
    <t xml:space="preserve">CAM Test 3 Sec 3+4</t>
  </si>
  <si>
    <t xml:space="preserve">Summary completion with word box</t>
  </si>
  <si>
    <t xml:space="preserve">T2 two-part question</t>
  </si>
  <si>
    <t xml:space="preserve">Part 1+2: replace top 3 repeated words (from AI counts)</t>
  </si>
  <si>
    <t xml:space="preserve">Vocabulary</t>
  </si>
  <si>
    <t xml:space="preserve">IDP-MOCK Listening section</t>
  </si>
  <si>
    <t xml:space="preserve">Full Reading 60m</t>
  </si>
  <si>
    <t xml:space="preserve">T1 process diagram; IDP-V 10 topic words</t>
  </si>
  <si>
    <t xml:space="preserve">Part 3: Environment + Work</t>
  </si>
  <si>
    <t xml:space="preserve">MOCK 2</t>
  </si>
  <si>
    <t xml:space="preserve">IDP-MOCK or CAM Test 4 full Listening, typed</t>
  </si>
  <si>
    <t xml:space="preserve">Full Writing T1+T2, 60m, Prompt 3 in both AIs</t>
  </si>
  <si>
    <t xml:space="preserve">Prompt 1 full test in ChatGPT and Gemini</t>
  </si>
  <si>
    <t xml:space="preserve">Phase 2: Build skills to Band 7</t>
  </si>
  <si>
    <t xml:space="preserve">Weakest skill from Mock 2</t>
  </si>
  <si>
    <t xml:space="preserve">CAM Test 4 Sec 1+2</t>
  </si>
  <si>
    <t xml:space="preserve">Weakest question type x 2 passages</t>
  </si>
  <si>
    <t xml:space="preserve">Rewrite weakest Mock 2 task</t>
  </si>
  <si>
    <t xml:space="preserve">Part 2: a skill you learned</t>
  </si>
  <si>
    <t xml:space="preserve">T2 structure</t>
  </si>
  <si>
    <t xml:space="preserve">CAM Test 4 Sec 3+4</t>
  </si>
  <si>
    <t xml:space="preserve">TFNG x 2</t>
  </si>
  <si>
    <t xml:space="preserve">T2 opinion using the template, Prompt 3</t>
  </si>
  <si>
    <t xml:space="preserve">Part 1 quick-fire: 15 questions in 5 min</t>
  </si>
  <si>
    <t xml:space="preserve">T1 accuracy</t>
  </si>
  <si>
    <t xml:space="preserve">BC-L full</t>
  </si>
  <si>
    <t xml:space="preserve">T1 line graph with future data</t>
  </si>
  <si>
    <t xml:space="preserve">Part 3: Society + Health</t>
  </si>
  <si>
    <t xml:space="preserve">Collocations</t>
  </si>
  <si>
    <t xml:space="preserve">CAM Test 5 Sec 1+2</t>
  </si>
  <si>
    <t xml:space="preserve">Matching features + sentence endings</t>
  </si>
  <si>
    <t xml:space="preserve">T2 discuss both views; W&amp;I check</t>
  </si>
  <si>
    <t xml:space="preserve">Part 2: a time you helped someone</t>
  </si>
  <si>
    <t xml:space="preserve">Speaking fluency</t>
  </si>
  <si>
    <t xml:space="preserve">CAM Test 5 Sec 3+4</t>
  </si>
  <si>
    <t xml:space="preserve">Passage 3 only x 2 (hardest)</t>
  </si>
  <si>
    <t xml:space="preserve">T1 map (before/after)</t>
  </si>
  <si>
    <t xml:space="preserve">Full test Prompt 1 (voice); compare filler count with Session 1</t>
  </si>
  <si>
    <t xml:space="preserve">Complex sentences</t>
  </si>
  <si>
    <t xml:space="preserve">IDP-FAM Listening again, aim 32+</t>
  </si>
  <si>
    <t xml:space="preserve">MCQ + summary completion</t>
  </si>
  <si>
    <t xml:space="preserve">T2: 2 complex sentences in every paragraph</t>
  </si>
  <si>
    <t xml:space="preserve">Part 3: Work abroad + Technology</t>
  </si>
  <si>
    <t xml:space="preserve">MOCK 3</t>
  </si>
  <si>
    <t xml:space="preserve">CAM Test 6 full Listening</t>
  </si>
  <si>
    <t xml:space="preserve">CAM Test 6 full Reading</t>
  </si>
  <si>
    <t xml:space="preserve">Full Writing 60m, Prompt 3</t>
  </si>
  <si>
    <t xml:space="preserve">Prompt 1 full test</t>
  </si>
  <si>
    <t xml:space="preserve">Fix Mock 3 errors</t>
  </si>
  <si>
    <t xml:space="preserve">Redo wrong Mock 3 questions</t>
  </si>
  <si>
    <t xml:space="preserve">Weakest question type</t>
  </si>
  <si>
    <t xml:space="preserve">Part 2: a challenge you faced</t>
  </si>
  <si>
    <t xml:space="preserve">Spelling and plurals</t>
  </si>
  <si>
    <t xml:space="preserve">CAM Test 7 Sec 1+2; focus on plural 's'</t>
  </si>
  <si>
    <t xml:space="preserve">Headings x 2</t>
  </si>
  <si>
    <t xml:space="preserve">T1 mixed (2 charts)</t>
  </si>
  <si>
    <t xml:space="preserve">Part 1 Work/Study, deeper answers</t>
  </si>
  <si>
    <t xml:space="preserve">Paraphrasing</t>
  </si>
  <si>
    <t xml:space="preserve">CAM Test 7 Sec 3+4</t>
  </si>
  <si>
    <t xml:space="preserve">Part 3: Education</t>
  </si>
  <si>
    <t xml:space="preserve">Timing</t>
  </si>
  <si>
    <t xml:space="preserve">BC-L full, no pause</t>
  </si>
  <si>
    <t xml:space="preserve">Passage 2+3 in 40m</t>
  </si>
  <si>
    <t xml:space="preserve">T1 process; finish in 20m exactly</t>
  </si>
  <si>
    <t xml:space="preserve">Full test Prompt 1 (voice)</t>
  </si>
  <si>
    <t xml:space="preserve">Pronunciation</t>
  </si>
  <si>
    <t xml:space="preserve">CAM Test 8 Sec 1+2</t>
  </si>
  <si>
    <t xml:space="preserve">TFNG + headings</t>
  </si>
  <si>
    <t xml:space="preserve">BBC shadowing 15m + Part 2 recorded</t>
  </si>
  <si>
    <t xml:space="preserve">Linkers</t>
  </si>
  <si>
    <t xml:space="preserve">CAM Test 8 Sec 3+4</t>
  </si>
  <si>
    <t xml:space="preserve">Matching information</t>
  </si>
  <si>
    <t xml:space="preserve">T1 table; vary linkers (whereas, by contrast)</t>
  </si>
  <si>
    <t xml:space="preserve">Part 3: Environment + Cities</t>
  </si>
  <si>
    <t xml:space="preserve">MOCK 4</t>
  </si>
  <si>
    <t xml:space="preserve">IDP-MOCK full Listening</t>
  </si>
  <si>
    <t xml:space="preserve">Full Reading</t>
  </si>
  <si>
    <t xml:space="preserve">Full Writing 60m, both AIs</t>
  </si>
  <si>
    <t xml:space="preserve">Prompt 1 full test in both AIs</t>
  </si>
  <si>
    <t xml:space="preserve">Phase 3: Timed accuracy + weakest skill</t>
  </si>
  <si>
    <t xml:space="preserve">Weakest skill (from Mock 4)</t>
  </si>
  <si>
    <t xml:space="preserve">CAM Test 9 full</t>
  </si>
  <si>
    <t xml:space="preserve">Weakest type x 2</t>
  </si>
  <si>
    <t xml:space="preserve">Rewrite weakest Mock 4 task</t>
  </si>
  <si>
    <t xml:space="preserve">Part 2: a book or film</t>
  </si>
  <si>
    <t xml:space="preserve">Listening Sec 4</t>
  </si>
  <si>
    <t xml:space="preserve">CAM Test 9 Sec 4 + CAM Test 10 Sec 4</t>
  </si>
  <si>
    <t xml:space="preserve">Passage 3 x 2</t>
  </si>
  <si>
    <t xml:space="preserve">T2 opinion in 40m, 270 words</t>
  </si>
  <si>
    <t xml:space="preserve">Part 1 quick-fire 15 questions</t>
  </si>
  <si>
    <t xml:space="preserve">T1 Band 7 overview</t>
  </si>
  <si>
    <t xml:space="preserve">CAM Test 10 Sec 1-3</t>
  </si>
  <si>
    <t xml:space="preserve">Full Reading 60m (17/20/23)</t>
  </si>
  <si>
    <t xml:space="preserve">T1 two charts</t>
  </si>
  <si>
    <t xml:space="preserve">Part 3: Advertising + Culture</t>
  </si>
  <si>
    <t xml:space="preserve">Grammar range</t>
  </si>
  <si>
    <t xml:space="preserve">TFNG + MCQ</t>
  </si>
  <si>
    <t xml:space="preserve">T2 with conditionals, relative clauses, passive</t>
  </si>
  <si>
    <t xml:space="preserve">Weakest skill</t>
  </si>
  <si>
    <t xml:space="preserve">Weakest section type x 3</t>
  </si>
  <si>
    <t xml:space="preserve">T1 process</t>
  </si>
  <si>
    <t xml:space="preserve">Part 2 x 3 cue cards back-to-back (LIZ)</t>
  </si>
  <si>
    <t xml:space="preserve">Stress control</t>
  </si>
  <si>
    <t xml:space="preserve">CAM Test 11 full, no pause</t>
  </si>
  <si>
    <t xml:space="preserve">T2 hardest topic (crime, government)</t>
  </si>
  <si>
    <t xml:space="preserve">Box breathing, then full test Prompt 1</t>
  </si>
  <si>
    <t xml:space="preserve">MOCK 5</t>
  </si>
  <si>
    <t xml:space="preserve">CAM Test 12 full</t>
  </si>
  <si>
    <t xml:space="preserve">CAM Test 12 full Reading</t>
  </si>
  <si>
    <t xml:space="preserve">Prompt 1 in both AIs; Prompt 4 weekly check</t>
  </si>
  <si>
    <t xml:space="preserve">Fix Mock 5 errors</t>
  </si>
  <si>
    <t xml:space="preserve">Redo wrong questions</t>
  </si>
  <si>
    <t xml:space="preserve">Weakest type</t>
  </si>
  <si>
    <t xml:space="preserve">Rewrite weakest Mock 5 task</t>
  </si>
  <si>
    <t xml:space="preserve">Part 2: an achievement you are proud of</t>
  </si>
  <si>
    <t xml:space="preserve">Maps and plans</t>
  </si>
  <si>
    <t xml:space="preserve">CAM Test 13 Sec 1+2 (maps)</t>
  </si>
  <si>
    <t xml:space="preserve">Headings + matching</t>
  </si>
  <si>
    <t xml:space="preserve">T1 map</t>
  </si>
  <si>
    <t xml:space="preserve">Part 3: Health + Family</t>
  </si>
  <si>
    <t xml:space="preserve">Speed</t>
  </si>
  <si>
    <t xml:space="preserve">CAM Test 13 Sec 3+4</t>
  </si>
  <si>
    <t xml:space="preserve">Full Reading in 55m (5m buffer)</t>
  </si>
  <si>
    <t xml:space="preserve">T2 in 37m + 3m proofread</t>
  </si>
  <si>
    <t xml:space="preserve">Part 1 deeper answers on 10 LIZ topics</t>
  </si>
  <si>
    <t xml:space="preserve">Vocabulary by topic</t>
  </si>
  <si>
    <t xml:space="preserve">CAM Test 14 Sec 1+2</t>
  </si>
  <si>
    <t xml:space="preserve">MCQ + summary</t>
  </si>
  <si>
    <t xml:space="preserve">T1 table; IDP-V 15 topic words</t>
  </si>
  <si>
    <t xml:space="preserve">Part 3: Technology + Work</t>
  </si>
  <si>
    <t xml:space="preserve">Replay only wrong answers from Mocks 3-5</t>
  </si>
  <si>
    <t xml:space="preserve">Re-read error log</t>
  </si>
  <si>
    <t xml:space="preserve">Read IDP-W Band 8-9 samples</t>
  </si>
  <si>
    <t xml:space="preserve">BBC shadowing 15m</t>
  </si>
  <si>
    <t xml:space="preserve">MOCK 6</t>
  </si>
  <si>
    <t xml:space="preserve">CAM Test 15 full</t>
  </si>
  <si>
    <t xml:space="preserve">CAM Test 15 full Reading</t>
  </si>
  <si>
    <t xml:space="preserve">Prompt 1 in both AIs</t>
  </si>
  <si>
    <t xml:space="preserve">Phase 4: Full mocks + polish</t>
  </si>
  <si>
    <t xml:space="preserve">Fix Mock 6 errors</t>
  </si>
  <si>
    <t xml:space="preserve">Rewrite weakest Mock 6 task</t>
  </si>
  <si>
    <t xml:space="preserve">Part 2 x 2 new cue cards (LIZ)</t>
  </si>
  <si>
    <t xml:space="preserve">Listening polish</t>
  </si>
  <si>
    <t xml:space="preserve">CAM Test 16 full</t>
  </si>
  <si>
    <t xml:space="preserve">Passage 2+3</t>
  </si>
  <si>
    <t xml:space="preserve">T2 hardest topic</t>
  </si>
  <si>
    <t xml:space="preserve">Part 3: abstract topics</t>
  </si>
  <si>
    <t xml:space="preserve">Reading polish</t>
  </si>
  <si>
    <t xml:space="preserve">CAM Test 17 Sec 3+4</t>
  </si>
  <si>
    <t xml:space="preserve">CAM Test 17 full Reading 60m</t>
  </si>
  <si>
    <t xml:space="preserve">T1 mixed chart</t>
  </si>
  <si>
    <t xml:space="preserve">Writing polish</t>
  </si>
  <si>
    <t xml:space="preserve">T2 + rewrite intro/conclusion of 3 old essays</t>
  </si>
  <si>
    <t xml:space="preserve">Part 1 + 3 with natural linkers</t>
  </si>
  <si>
    <t xml:space="preserve">Weakest task type</t>
  </si>
  <si>
    <t xml:space="preserve">Part 2 x 3 back-to-back</t>
  </si>
  <si>
    <t xml:space="preserve">Speed + check routine</t>
  </si>
  <si>
    <t xml:space="preserve">CAM Test 18 full; 2-min check only for spelling</t>
  </si>
  <si>
    <t xml:space="preserve">Full Reading in 55m</t>
  </si>
  <si>
    <t xml:space="preserve">T1 in 18m + 2m proofread</t>
  </si>
  <si>
    <t xml:space="preserve">MOCK 7 (exam time of day, T1 first)</t>
  </si>
  <si>
    <t xml:space="preserve">CAM Test 19 full</t>
  </si>
  <si>
    <t xml:space="preserve">CAM Test 19 full Reading</t>
  </si>
  <si>
    <t xml:space="preserve">Fix Mock 7 errors</t>
  </si>
  <si>
    <t xml:space="preserve">Rewrite weakest task</t>
  </si>
  <si>
    <t xml:space="preserve">Part 2: a goal for the future</t>
  </si>
  <si>
    <t xml:space="preserve">Confidence</t>
  </si>
  <si>
    <t xml:space="preserve">IDP-MOCK Listening</t>
  </si>
  <si>
    <t xml:space="preserve">T2 opinion</t>
  </si>
  <si>
    <t xml:space="preserve">Part 3: Work abroad (her real interview topic)</t>
  </si>
  <si>
    <t xml:space="preserve">Final weak spots</t>
  </si>
  <si>
    <t xml:space="preserve">CAM Test 20 Sec 1-3</t>
  </si>
  <si>
    <t xml:space="preserve">T1 process + T2 outline only</t>
  </si>
  <si>
    <t xml:space="preserve">Light</t>
  </si>
  <si>
    <t xml:space="preserve">BBC 6 Minute English</t>
  </si>
  <si>
    <t xml:space="preserve">1 passage</t>
  </si>
  <si>
    <t xml:space="preserve">Read own 3 best essays</t>
  </si>
  <si>
    <t xml:space="preserve">Part 1 warm-up only</t>
  </si>
  <si>
    <t xml:space="preserve">MOCK 8 (exam time of day, T2 first)</t>
  </si>
  <si>
    <t xml:space="preserve">CAM Test 21 full</t>
  </si>
  <si>
    <t xml:space="preserve">CAM Test 21 full Reading</t>
  </si>
  <si>
    <t xml:space="preserve">Fix Mock 8 errors</t>
  </si>
  <si>
    <t xml:space="preserve">Redo wrong questions only</t>
  </si>
  <si>
    <t xml:space="preserve">Fix grammar errors from Mock 8</t>
  </si>
  <si>
    <t xml:space="preserve">Part 2 x 2</t>
  </si>
  <si>
    <t xml:space="preserve">IDP-FAM Listening (screen refresh)</t>
  </si>
  <si>
    <t xml:space="preserve">IDP-FAM Reading</t>
  </si>
  <si>
    <t xml:space="preserve">Review templates</t>
  </si>
  <si>
    <t xml:space="preserve">Final: Rest + exam</t>
  </si>
  <si>
    <t xml:space="preserve">Short session</t>
  </si>
  <si>
    <t xml:space="preserve">1 Listening section on FAM screen</t>
  </si>
  <si>
    <t xml:space="preserve">1 Reading passage on FAM screen</t>
  </si>
  <si>
    <t xml:space="preserve">Review error log</t>
  </si>
  <si>
    <t xml:space="preserve">1 Part 2 with AI</t>
  </si>
  <si>
    <t xml:space="preserve">Templates + logistics</t>
  </si>
  <si>
    <t xml:space="preserve">-</t>
  </si>
  <si>
    <t xml:space="preserve">Read own best essays and templates</t>
  </si>
  <si>
    <t xml:space="preserve">Part 1 warm-up 10 min; check test centre route</t>
  </si>
  <si>
    <t xml:space="preserve">English podcast for fun</t>
  </si>
  <si>
    <t xml:space="preserve">Prepare ID used at booking; sleep early</t>
  </si>
  <si>
    <t xml:space="preserve">Rest</t>
  </si>
  <si>
    <t xml:space="preserve">5-minute Part 1 warm-up only</t>
  </si>
  <si>
    <t xml:space="preserve">Copy-paste prompts for ChatGPT and Gemini</t>
  </si>
  <si>
    <t xml:space="preserve">Replace the [brackets]. Use the same prompt every time so scores are comparable.</t>
  </si>
  <si>
    <t xml:space="preserve">Prompt</t>
  </si>
  <si>
    <t xml:space="preserve">Text to copy</t>
  </si>
  <si>
    <t xml:space="preserve">Prompt 1: live Speaking test (voice mode)</t>
  </si>
  <si>
    <t xml:space="preserve">Act as a strict, certified IELTS Speaking examiner. Run a full IELTS Speaking test (Part 1: 4-5 min, Part 2: 1 min prep + 2 min talk, Part 3: 4-5 min) on a topic you choose. Ask one question at a time and do not help me or praise me during the test. When it ends, give: (1) a band for Fluency &amp; Coherence, Lexical Resource, Grammatical Range &amp; Accuracy, and Pronunciation using the official public band descriptors; (2) the overall band; (3) every word or phrase I repeated more than 3 times, with counts; (4) my filler words (umm, actually, basically, like) with counts; (5) the 3 most important fixes for Band 7, with one better example sentence each. Be honest; do not inflate the score.</t>
  </si>
  <si>
    <t xml:space="preserve">Prompt 2: score a recorded answer (paste transcript)</t>
  </si>
  <si>
    <t xml:space="preserve">Below is the transcript of my IELTS Speaking Part [1/2/3] answer to the question: "[question]". Mark it as a strict IELTS examiner using the official public band descriptors. Give a band for each of the 4 criteria, list repeated words and fillers with counts, mark grammar errors with corrections, and suggest 5 topic words a Band 7-8 speaker would use. Do not rewrite my whole answer. [paste transcript]</t>
  </si>
  <si>
    <t xml:space="preserve">Prompt 3: Writing marking</t>
  </si>
  <si>
    <t xml:space="preserve">Act as a strict IELTS Academic Writing examiner. Here is my Task [1/2]. Question: [paste question]. My answer ([word count] words): [paste answer]. Give a band for Task Achievement/Response, Coherence &amp; Cohesion, Lexical Resource and Grammatical Range &amp; Accuracy using the official public band descriptors, with a reason for each. Then list my grammar and spelling errors with corrections, my over-used words, and the 3 changes that would most raise this to Band 7. Do not rewrite the full essay.</t>
  </si>
  <si>
    <t xml:space="preserve">Prompt 4: weekly progress check</t>
  </si>
  <si>
    <t xml:space="preserve">Here are my last 7 days of IELTS scores and error notes: [paste]. Tell me my 2 weakest areas, a pattern in my mistakes, and exactly what to practise next week in a 3-hour daily routine.</t>
  </si>
  <si>
    <t xml:space="preserve">Websites and resources (codes used in the plan)</t>
  </si>
  <si>
    <t xml:space="preserve">Links checked 14 Oct 2026. Use official sources for all mocks.</t>
  </si>
  <si>
    <t xml:space="preserve">Code</t>
  </si>
  <si>
    <t xml:space="preserve">Resource</t>
  </si>
  <si>
    <t xml:space="preserve">Use it for</t>
  </si>
  <si>
    <t xml:space="preserve">Link</t>
  </si>
  <si>
    <t xml:space="preserve">Cost</t>
  </si>
  <si>
    <t xml:space="preserve">FAM</t>
  </si>
  <si>
    <t xml:space="preserve">Computer familiarisation test (British Council)</t>
  </si>
  <si>
    <t xml:space="preserve">The real test-day screen: Listening, Reading, Writing; L and R auto-scored</t>
  </si>
  <si>
    <t xml:space="preserve">https://takeielts.britishcouncil.org/take-ielts/prepare/free-ielts-english-practice-tests/ielts-on-computer/familiarisation-test</t>
  </si>
  <si>
    <t xml:space="preserve">Free</t>
  </si>
  <si>
    <t xml:space="preserve">IDP-FAM</t>
  </si>
  <si>
    <t xml:space="preserve">Computer familiarisation test (IDP India)</t>
  </si>
  <si>
    <t xml:space="preserve">Second version of the real screen</t>
  </si>
  <si>
    <t xml:space="preserve">https://ieltsidpindia.com/information/computer-delivered-ielts-familiarisation-test</t>
  </si>
  <si>
    <t xml:space="preserve">BC-L</t>
  </si>
  <si>
    <t xml:space="preserve">British Council Academic Listening practice</t>
  </si>
  <si>
    <t xml:space="preserve">Skill practice tests with answers</t>
  </si>
  <si>
    <t xml:space="preserve">https://takeielts.britishcouncil.org/prepare/ielts-free-practice-mock-tests/academic/listening</t>
  </si>
  <si>
    <t xml:space="preserve">BC-R</t>
  </si>
  <si>
    <t xml:space="preserve">British Council Academic Reading practice</t>
  </si>
  <si>
    <t xml:space="preserve">https://takeielts.britishcouncil.org/prepare/ielts-free-practice-mock-tests/academic/reading</t>
  </si>
  <si>
    <t xml:space="preserve">BC-W</t>
  </si>
  <si>
    <t xml:space="preserve">British Council Academic Writing practice</t>
  </si>
  <si>
    <t xml:space="preserve">Writing tasks and samples</t>
  </si>
  <si>
    <t xml:space="preserve">https://takeielts.britishcouncil.org/prepare/ielts-free-practice-mock-tests/academic/writing</t>
  </si>
  <si>
    <t xml:space="preserve">BC-S</t>
  </si>
  <si>
    <t xml:space="preserve">British Council Speaking practice</t>
  </si>
  <si>
    <t xml:space="preserve">Speaking practice by topic</t>
  </si>
  <si>
    <t xml:space="preserve">https://takeielts.britishcouncil.org/prepare/ielts-free-practice-mock-tests/academic/speaking</t>
  </si>
  <si>
    <t xml:space="preserve">IDP-MOCK</t>
  </si>
  <si>
    <t xml:space="preserve">IDP India free mock tests</t>
  </si>
  <si>
    <t xml:space="preserve">Full mocks in a test-like environment</t>
  </si>
  <si>
    <t xml:space="preserve">https://ieltsidpindia.com/prepare/ielts-mock-tests</t>
  </si>
  <si>
    <t xml:space="preserve">IDP-APP</t>
  </si>
  <si>
    <t xml:space="preserve">IELTS by IDP app</t>
  </si>
  <si>
    <t xml:space="preserve">Practice tests, typing exercises, vocabulary</t>
  </si>
  <si>
    <t xml:space="preserve">https://ieltsidpindia.com/ielts/app</t>
  </si>
  <si>
    <t xml:space="preserve">CAM</t>
  </si>
  <si>
    <t xml:space="preserve">Cambridge IELTS Academic books 15-20</t>
  </si>
  <si>
    <t xml:space="preserve">Real past papers for full mocks (CAM Test N: Book 15 = Tests 1-4, Book 16 = 5-8 ... Book 20 = 21-24)</t>
  </si>
  <si>
    <t xml:space="preserve">Bookshops / Amazon</t>
  </si>
  <si>
    <t xml:space="preserve">Paid</t>
  </si>
  <si>
    <t xml:space="preserve">LIZ</t>
  </si>
  <si>
    <t xml:space="preserve">IELTS Liz speaking topics</t>
  </si>
  <si>
    <t xml:space="preserve">Current Part 1/2/3 topics and model answers</t>
  </si>
  <si>
    <t xml:space="preserve">https://ieltsliz.com/ielts-speaking-topics/</t>
  </si>
  <si>
    <t xml:space="preserve">LIZ-P1</t>
  </si>
  <si>
    <t xml:space="preserve">IELTS Liz Part 1 topics</t>
  </si>
  <si>
    <t xml:space="preserve">Part 1 questions</t>
  </si>
  <si>
    <t xml:space="preserve">https://ieltsliz.com/ielts-speaking-part-1-topics/</t>
  </si>
  <si>
    <t xml:space="preserve">LIZ-P2</t>
  </si>
  <si>
    <t xml:space="preserve">IELTS Liz Part 2 topics</t>
  </si>
  <si>
    <t xml:space="preserve">Cue cards</t>
  </si>
  <si>
    <t xml:space="preserve">https://ieltsliz.com/ielts-speaking-part-2-topics/</t>
  </si>
  <si>
    <t xml:space="preserve">IDP-W1</t>
  </si>
  <si>
    <t xml:space="preserve">IDP Task 1 sample answers</t>
  </si>
  <si>
    <t xml:space="preserve">Model Task 1 writing</t>
  </si>
  <si>
    <t xml:space="preserve">https://ieltsidpindia.com/blog/ielts-writing-task-1-sample-answer</t>
  </si>
  <si>
    <t xml:space="preserve">IDP-W2</t>
  </si>
  <si>
    <t xml:space="preserve">IDP Task 2 sample answers</t>
  </si>
  <si>
    <t xml:space="preserve">Model Task 2 writing</t>
  </si>
  <si>
    <t xml:space="preserve">https://ieltsidpindia.com/blog/ielts-writing-task-2-sample-questions-answers</t>
  </si>
  <si>
    <t xml:space="preserve">IDP-V</t>
  </si>
  <si>
    <t xml:space="preserve">IDP vocabulary words</t>
  </si>
  <si>
    <t xml:space="preserve">Daily 5-minute word study</t>
  </si>
  <si>
    <t xml:space="preserve">https://ieltsidpindia.com/prepare/vocabulary-words-for-ielts</t>
  </si>
  <si>
    <t xml:space="preserve">IDP-G</t>
  </si>
  <si>
    <t xml:space="preserve">IDP grammar</t>
  </si>
  <si>
    <t xml:space="preserve">Grammar revision</t>
  </si>
  <si>
    <t xml:space="preserve">https://ieltsidpindia.com/prepare/grammar</t>
  </si>
  <si>
    <t xml:space="preserve">BD-W</t>
  </si>
  <si>
    <t xml:space="preserve">Official Writing band descriptors</t>
  </si>
  <si>
    <t xml:space="preserve">What Band 7 means in Writing</t>
  </si>
  <si>
    <t xml:space="preserve">https://ielts.org/cdn/ielts-downloadable-assets/ielts-guidance-and-support/ielts-guides/ielts-writing-band-descriptors.pdf</t>
  </si>
  <si>
    <t xml:space="preserve">BD-S</t>
  </si>
  <si>
    <t xml:space="preserve">Official Speaking band descriptors</t>
  </si>
  <si>
    <t xml:space="preserve">What Band 7 means in Speaking</t>
  </si>
  <si>
    <t xml:space="preserve">https://ielts.org/cdn/ielts-downloadable-assets/ielts-guidance-and-support/ielts-guides/ielts-speaking-band-descriptors.pdf</t>
  </si>
  <si>
    <t xml:space="preserve">W&amp;I</t>
  </si>
  <si>
    <t xml:space="preserve">Write &amp; Improve (Cambridge)</t>
  </si>
  <si>
    <t xml:space="preserve">Instant grammar and vocabulary feedback</t>
  </si>
  <si>
    <t xml:space="preserve">https://writeandimprove.com/free</t>
  </si>
  <si>
    <t xml:space="preserve">BBC</t>
  </si>
  <si>
    <t xml:space="preserve">BBC Learning English (6 Minute English)</t>
  </si>
  <si>
    <t xml:space="preserve">Listening and shadowing</t>
  </si>
  <si>
    <t xml:space="preserve">https://www.bbc.co.uk/learningenglish</t>
  </si>
  <si>
    <t xml:space="preserve">TYPE</t>
  </si>
  <si>
    <t xml:space="preserve">Monkeytype / Keybr</t>
  </si>
  <si>
    <t xml:space="preserve">10 min daily typing</t>
  </si>
  <si>
    <t xml:space="preserve">https://monkeytype.com</t>
  </si>
  <si>
    <t xml:space="preserve">OSR</t>
  </si>
  <si>
    <t xml:space="preserve">IELTS One Skill Retake</t>
  </si>
  <si>
    <t xml:space="preserve">Backup: retake one skill within 60 days</t>
  </si>
  <si>
    <t xml:space="preserve">https://ielts.org/take-a-test/booking-your-test/one-skill-retake</t>
  </si>
  <si>
    <t xml:space="preserve">Raw score (out of 40) to band - approximate</t>
  </si>
  <si>
    <t xml:space="preserve">Lower bound of each range. Official tables vary slightly per test.</t>
  </si>
  <si>
    <t xml:space="preserve">Min correct</t>
  </si>
  <si>
    <t xml:space="preserve">Listening band</t>
  </si>
  <si>
    <t xml:space="preserve">Academic Reading band</t>
  </si>
  <si>
    <t xml:space="preserve">Mock Test Score Tracker (8 mocks)</t>
  </si>
  <si>
    <t xml:space="preserve">Enter raw L/R scores and AI bands. Writing/Speaking use the LOWER of ChatGPT and Gemini.</t>
  </si>
  <si>
    <t xml:space="preserve">Mock #</t>
  </si>
  <si>
    <t xml:space="preserve">Session</t>
  </si>
  <si>
    <t xml:space="preserve">Listening /40</t>
  </si>
  <si>
    <t xml:space="preserve">Reading /40</t>
  </si>
  <si>
    <t xml:space="preserve">Reading band</t>
  </si>
  <si>
    <t xml:space="preserve">Writing ChatGPT</t>
  </si>
  <si>
    <t xml:space="preserve">Writing Gemini</t>
  </si>
  <si>
    <t xml:space="preserve">Writing used</t>
  </si>
  <si>
    <t xml:space="preserve">Speaking ChatGPT</t>
  </si>
  <si>
    <t xml:space="preserve">Speaking Gemini</t>
  </si>
  <si>
    <t xml:space="preserve">Speaking used</t>
  </si>
  <si>
    <t xml:space="preserve">Overall</t>
  </si>
  <si>
    <t xml:space="preserve">Gap to target</t>
  </si>
  <si>
    <t xml:space="preserve">Mock 1 holds EXAMPLE scores - overwrite with her real results.</t>
  </si>
  <si>
    <t xml:space="preserve">Overall = average of 4 skills rounded to nearest 0.5 (x.25 up to x.5, x.75 up to next band).</t>
  </si>
  <si>
    <t xml:space="preserve">Daily Speaking Log - scores from ChatGPT / Gemini</t>
  </si>
  <si>
    <t xml:space="preserve">Copy the AI's numbers here after each Speaking block. Watch fillers fall over time.</t>
  </si>
  <si>
    <t xml:space="preserve">AI used</t>
  </si>
  <si>
    <t xml:space="preserve">Part (1/2/3)</t>
  </si>
  <si>
    <t xml:space="preserve">Topic / question</t>
  </si>
  <si>
    <t xml:space="preserve">Fluency</t>
  </si>
  <si>
    <t xml:space="preserve">Grammar</t>
  </si>
  <si>
    <t xml:space="preserve">AI overall</t>
  </si>
  <si>
    <t xml:space="preserve">Fillers count</t>
  </si>
  <si>
    <t xml:space="preserve">Top repeated words</t>
  </si>
  <si>
    <t xml:space="preserve">Fix for tomorrow</t>
  </si>
  <si>
    <t xml:space="preserve">ChatGPT</t>
  </si>
  <si>
    <t xml:space="preserve">1+2+3</t>
  </si>
  <si>
    <t xml:space="preserve">Full test - hometown; describe a person</t>
  </si>
  <si>
    <t xml:space="preserve">actually, very, basically</t>
  </si>
  <si>
    <t xml:space="preserve">Silent pause instead of 'umm'</t>
  </si>
  <si>
    <t xml:space="preserve">Row 1 is an EXAMPLE - overwrite it.</t>
  </si>
  <si>
    <t xml:space="preserve">Fillers: Session 1 minus latest</t>
  </si>
  <si>
    <t xml:space="preserve">positive = fewer fillers (improving)</t>
  </si>
  <si>
    <t xml:space="preserve">Mistake / Spelling Error Log</t>
  </si>
  <si>
    <t xml:space="preserve">Every wrong answer goes here. Revise in the 15-min warm-up daily.</t>
  </si>
  <si>
    <t xml:space="preserve">Row 5 is an EXAMPLE.</t>
  </si>
  <si>
    <t xml:space="preserve">Skill</t>
  </si>
  <si>
    <t xml:space="preserve">Question type</t>
  </si>
  <si>
    <t xml:space="preserve">My answer</t>
  </si>
  <si>
    <t xml:space="preserve">Correct answer</t>
  </si>
  <si>
    <t xml:space="preserve">Why wrong (spelling / plural / distractor / time / word limit)</t>
  </si>
  <si>
    <t xml:space="preserve">Fixed?</t>
  </si>
  <si>
    <t xml:space="preserve">Listening</t>
  </si>
  <si>
    <t xml:space="preserve">Form completion</t>
  </si>
  <si>
    <t xml:space="preserve">acommodation</t>
  </si>
  <si>
    <t xml:space="preserve">accommodation</t>
  </si>
  <si>
    <t xml:space="preserve">Spelling - double c, double m</t>
  </si>
  <si>
    <t xml:space="preserve">Yes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</si>
</sst>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0&quot; days&quot;"/>
    <numFmt numFmtId="167" formatCode="0&quot; of 60&quot;"/>
    <numFmt numFmtId="168" formatCode="0&quot; min&quot;"/>
    <numFmt numFmtId="169" formatCode="ddd\ dd\-mmm"/>
    <numFmt numFmtId="170" formatCode="0.0"/>
    <numFmt numFmtId="171" formatCode="dd\-mmm"/>
    <numFmt numFmtId="172" formatCode="\+0.0;\-0.0;0.0"/>
    <numFmt numFmtId="173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takeielts.britishcouncil.org/take-ielts/prepare/free-ielts-english-practice-tests/ielts-on-computer/familiarisation-test" TargetMode="External"/><Relationship Id="rId2" Type="http://schemas.openxmlformats.org/officeDocument/2006/relationships/hyperlink" Target="https://ieltsidpindia.com/information/computer-delivered-ielts-familiarisation-test" TargetMode="External"/><Relationship Id="rId3" Type="http://schemas.openxmlformats.org/officeDocument/2006/relationships/hyperlink" Target="https://takeielts.britishcouncil.org/prepare/ielts-free-practice-mock-tests/academic/listening" TargetMode="External"/><Relationship Id="rId4" Type="http://schemas.openxmlformats.org/officeDocument/2006/relationships/hyperlink" Target="https://takeielts.britishcouncil.org/prepare/ielts-free-practice-mock-tests/academic/reading" TargetMode="External"/><Relationship Id="rId5" Type="http://schemas.openxmlformats.org/officeDocument/2006/relationships/hyperlink" Target="https://takeielts.britishcouncil.org/prepare/ielts-free-practice-mock-tests/academic/writing" TargetMode="External"/><Relationship Id="rId6" Type="http://schemas.openxmlformats.org/officeDocument/2006/relationships/hyperlink" Target="https://takeielts.britishcouncil.org/prepare/ielts-free-practice-mock-tests/academic/speaking" TargetMode="External"/><Relationship Id="rId7" Type="http://schemas.openxmlformats.org/officeDocument/2006/relationships/hyperlink" Target="https://ieltsidpindia.com/prepare/ielts-mock-tests" TargetMode="External"/><Relationship Id="rId8" Type="http://schemas.openxmlformats.org/officeDocument/2006/relationships/hyperlink" Target="https://ieltsidpindia.com/ielts/app" TargetMode="External"/><Relationship Id="rId9" Type="http://schemas.openxmlformats.org/officeDocument/2006/relationships/hyperlink" Target="https://ieltsliz.com/ielts-speaking-topics/" TargetMode="External"/><Relationship Id="rId10" Type="http://schemas.openxmlformats.org/officeDocument/2006/relationships/hyperlink" Target="https://ieltsliz.com/ielts-speaking-part-1-topics/" TargetMode="External"/><Relationship Id="rId11" Type="http://schemas.openxmlformats.org/officeDocument/2006/relationships/hyperlink" Target="https://ieltsliz.com/ielts-speaking-part-2-topics/" TargetMode="External"/><Relationship Id="rId12" Type="http://schemas.openxmlformats.org/officeDocument/2006/relationships/hyperlink" Target="https://ieltsidpindia.com/blog/ielts-writing-task-1-sample-answer" TargetMode="External"/><Relationship Id="rId13" Type="http://schemas.openxmlformats.org/officeDocument/2006/relationships/hyperlink" Target="https://ieltsidpindia.com/blog/ielts-writing-task-2-sample-questions-answers" TargetMode="External"/><Relationship Id="rId14" Type="http://schemas.openxmlformats.org/officeDocument/2006/relationships/hyperlink" Target="https://ieltsidpindia.com/prepare/vocabulary-words-for-ielts" TargetMode="External"/><Relationship Id="rId15" Type="http://schemas.openxmlformats.org/officeDocument/2006/relationships/hyperlink" Target="https://ieltsidpindia.com/prepare/grammar" TargetMode="External"/><Relationship Id="rId16" Type="http://schemas.openxmlformats.org/officeDocument/2006/relationships/hyperlink" Target="https://ielts.org/cdn/ielts-downloadable-assets/ielts-guidance-and-support/ielts-guides/ielts-writing-band-descriptors.pdf" TargetMode="External"/><Relationship Id="rId17" Type="http://schemas.openxmlformats.org/officeDocument/2006/relationships/hyperlink" Target="https://ielts.org/cdn/ielts-downloadable-assets/ielts-guidance-and-support/ielts-guides/ielts-speaking-band-descriptors.pdf" TargetMode="External"/><Relationship Id="rId18" Type="http://schemas.openxmlformats.org/officeDocument/2006/relationships/hyperlink" Target="https://writeandimprove.com/free" TargetMode="External"/><Relationship Id="rId19" Type="http://schemas.openxmlformats.org/officeDocument/2006/relationships/hyperlink" Target="https://www.bbc.co.uk/learningenglish" TargetMode="External"/><Relationship Id="rId20" Type="http://schemas.openxmlformats.org/officeDocument/2006/relationships/hyperlink" Target="https://monkeytype.com/" TargetMode="External"/><Relationship Id="rId21" Type="http://schemas.openxmlformats.org/officeDocument/2006/relationships/hyperlink" Target="https://ielts.org/take-a-test/booking-your-test/one-skill-retak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46310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46370</v>
      </c>
      <c r="C5" s="5" t="s">
        <v>5</v>
      </c>
    </row>
    <row r="6" customFormat="false" ht="15" hidden="false" customHeight="false" outlineLevel="0" collapsed="false">
      <c r="A6" s="3" t="s">
        <v>6</v>
      </c>
      <c r="B6" s="6" t="n">
        <f aca="true">B5-TODAY()</f>
        <v>61</v>
      </c>
      <c r="C6" s="5" t="s">
        <v>7</v>
      </c>
    </row>
    <row r="7" customFormat="false" ht="15" hidden="false" customHeight="false" outlineLevel="0" collapsed="false">
      <c r="A7" s="3" t="s">
        <v>8</v>
      </c>
      <c r="B7" s="7" t="n">
        <v>7</v>
      </c>
      <c r="C7" s="5" t="s">
        <v>9</v>
      </c>
    </row>
    <row r="8" customFormat="false" ht="15" hidden="false" customHeight="false" outlineLevel="0" collapsed="false">
      <c r="A8" s="3" t="s">
        <v>10</v>
      </c>
      <c r="B8" s="8" t="n">
        <f aca="false">COUNTIF('60-Day Plan'!J5:J64,"Yes")</f>
        <v>0</v>
      </c>
      <c r="C8" s="5" t="s">
        <v>11</v>
      </c>
    </row>
    <row r="11" customFormat="false" ht="15" hidden="false" customHeight="false" outlineLevel="0" collapsed="false">
      <c r="A11" s="9" t="s">
        <v>12</v>
      </c>
    </row>
    <row r="12" customFormat="false" ht="15" hidden="false" customHeight="false" outlineLevel="0" collapsed="false">
      <c r="A12" s="10" t="s">
        <v>13</v>
      </c>
      <c r="B12" s="10" t="s">
        <v>14</v>
      </c>
      <c r="C12" s="10" t="s">
        <v>15</v>
      </c>
    </row>
    <row r="13" customFormat="false" ht="15" hidden="false" customHeight="false" outlineLevel="0" collapsed="false">
      <c r="A13" s="5" t="s">
        <v>16</v>
      </c>
      <c r="B13" s="11" t="n">
        <v>15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11" t="n">
        <v>35</v>
      </c>
      <c r="C14" s="5" t="s">
        <v>19</v>
      </c>
    </row>
    <row r="15" customFormat="false" ht="15" hidden="false" customHeight="false" outlineLevel="0" collapsed="false">
      <c r="A15" s="5" t="s">
        <v>20</v>
      </c>
      <c r="B15" s="11" t="n">
        <v>40</v>
      </c>
      <c r="C15" s="5" t="s">
        <v>21</v>
      </c>
    </row>
    <row r="16" customFormat="false" ht="15" hidden="false" customHeight="false" outlineLevel="0" collapsed="false">
      <c r="A16" s="5" t="s">
        <v>22</v>
      </c>
      <c r="B16" s="11" t="n">
        <v>45</v>
      </c>
      <c r="C16" s="5" t="s">
        <v>23</v>
      </c>
    </row>
    <row r="17" customFormat="false" ht="15" hidden="false" customHeight="false" outlineLevel="0" collapsed="false">
      <c r="A17" s="5" t="s">
        <v>24</v>
      </c>
      <c r="B17" s="11" t="n">
        <v>35</v>
      </c>
      <c r="C17" s="5" t="s">
        <v>25</v>
      </c>
    </row>
    <row r="18" customFormat="false" ht="15" hidden="false" customHeight="false" outlineLevel="0" collapsed="false">
      <c r="A18" s="5" t="s">
        <v>26</v>
      </c>
      <c r="B18" s="11" t="n">
        <v>10</v>
      </c>
      <c r="C18" s="5" t="s">
        <v>27</v>
      </c>
    </row>
    <row r="19" customFormat="false" ht="15" hidden="false" customHeight="false" outlineLevel="0" collapsed="false">
      <c r="A19" s="3" t="s">
        <v>28</v>
      </c>
      <c r="B19" s="12" t="n">
        <f aca="false">SUM(B13:B18)</f>
        <v>180</v>
      </c>
      <c r="C19" s="13" t="s">
        <v>29</v>
      </c>
    </row>
    <row r="22" customFormat="false" ht="15" hidden="false" customHeight="false" outlineLevel="0" collapsed="false">
      <c r="A22" s="9" t="s">
        <v>30</v>
      </c>
    </row>
    <row r="23" customFormat="false" ht="15" hidden="false" customHeight="true" outlineLevel="0" collapsed="false">
      <c r="A23" s="14" t="s">
        <v>31</v>
      </c>
      <c r="B23" s="14"/>
      <c r="C23" s="14"/>
    </row>
    <row r="24" customFormat="false" ht="15" hidden="false" customHeight="true" outlineLevel="0" collapsed="false">
      <c r="A24" s="14" t="s">
        <v>32</v>
      </c>
      <c r="B24" s="14"/>
      <c r="C24" s="14"/>
    </row>
    <row r="25" customFormat="false" ht="15" hidden="false" customHeight="true" outlineLevel="0" collapsed="false">
      <c r="A25" s="14" t="s">
        <v>33</v>
      </c>
      <c r="B25" s="14"/>
      <c r="C25" s="14"/>
    </row>
    <row r="26" customFormat="false" ht="15" hidden="false" customHeight="true" outlineLevel="0" collapsed="false">
      <c r="A26" s="14" t="s">
        <v>34</v>
      </c>
      <c r="B26" s="14"/>
      <c r="C26" s="14"/>
    </row>
    <row r="27" customFormat="false" ht="15" hidden="false" customHeight="true" outlineLevel="0" collapsed="false">
      <c r="A27" s="14" t="s">
        <v>35</v>
      </c>
      <c r="B27" s="14"/>
      <c r="C27" s="14"/>
    </row>
    <row r="30" customFormat="false" ht="15" hidden="false" customHeight="false" outlineLevel="0" collapsed="false">
      <c r="A30" s="9" t="s">
        <v>36</v>
      </c>
    </row>
    <row r="31" customFormat="false" ht="15" hidden="false" customHeight="true" outlineLevel="0" collapsed="false">
      <c r="A31" s="15" t="s">
        <v>37</v>
      </c>
      <c r="B31" s="5" t="s">
        <v>38</v>
      </c>
      <c r="C31" s="5"/>
    </row>
    <row r="32" customFormat="false" ht="15" hidden="false" customHeight="true" outlineLevel="0" collapsed="false">
      <c r="A32" s="16" t="s">
        <v>39</v>
      </c>
      <c r="B32" s="5" t="s">
        <v>40</v>
      </c>
      <c r="C32" s="5"/>
    </row>
    <row r="33" customFormat="false" ht="15" hidden="false" customHeight="true" outlineLevel="0" collapsed="false">
      <c r="A33" s="17" t="s">
        <v>41</v>
      </c>
      <c r="B33" s="5" t="s">
        <v>42</v>
      </c>
      <c r="C33" s="5"/>
    </row>
    <row r="35" customFormat="false" ht="15" hidden="false" customHeight="false" outlineLevel="0" collapsed="false">
      <c r="A35" s="18" t="s">
        <v>43</v>
      </c>
    </row>
  </sheetData>
  <mergeCells count="8">
    <mergeCell ref="A23:C23"/>
    <mergeCell ref="A24:C24"/>
    <mergeCell ref="A25:C25"/>
    <mergeCell ref="A26:C26"/>
    <mergeCell ref="A27:C27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23.85" hidden="false" customHeight="false" outlineLevel="0" collapsed="false">
      <c r="A4" s="10" t="s">
        <v>46</v>
      </c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</row>
    <row r="5" customFormat="false" ht="23.85" hidden="false" customHeight="false" outlineLevel="0" collapsed="false">
      <c r="A5" s="19" t="n">
        <v>1</v>
      </c>
      <c r="B5" s="20" t="n">
        <f aca="false">'Start Here'!$B$4+A5-1</f>
        <v>46310</v>
      </c>
      <c r="C5" s="16" t="s">
        <v>57</v>
      </c>
      <c r="D5" s="21" t="s">
        <v>58</v>
      </c>
      <c r="E5" s="16" t="s">
        <v>59</v>
      </c>
      <c r="F5" s="16" t="s">
        <v>60</v>
      </c>
      <c r="G5" s="16" t="s">
        <v>61</v>
      </c>
      <c r="H5" s="16" t="s">
        <v>62</v>
      </c>
      <c r="I5" s="22"/>
      <c r="J5" s="23"/>
      <c r="K5" s="24"/>
    </row>
    <row r="6" customFormat="false" ht="23.85" hidden="false" customHeight="false" outlineLevel="0" collapsed="false">
      <c r="A6" s="11" t="n">
        <v>2</v>
      </c>
      <c r="B6" s="25" t="n">
        <f aca="false">'Start Here'!$B$4+A6-1</f>
        <v>46311</v>
      </c>
      <c r="C6" s="5" t="s">
        <v>57</v>
      </c>
      <c r="D6" s="26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22"/>
      <c r="J6" s="23"/>
      <c r="K6" s="24"/>
    </row>
    <row r="7" customFormat="false" ht="23.85" hidden="false" customHeight="false" outlineLevel="0" collapsed="false">
      <c r="A7" s="11" t="n">
        <v>3</v>
      </c>
      <c r="B7" s="25" t="n">
        <f aca="false">'Start Here'!$B$4+A7-1</f>
        <v>46312</v>
      </c>
      <c r="C7" s="5" t="s">
        <v>57</v>
      </c>
      <c r="D7" s="26" t="s">
        <v>68</v>
      </c>
      <c r="E7" s="5" t="s">
        <v>69</v>
      </c>
      <c r="F7" s="5" t="s">
        <v>70</v>
      </c>
      <c r="G7" s="5" t="s">
        <v>71</v>
      </c>
      <c r="H7" s="5" t="s">
        <v>72</v>
      </c>
      <c r="I7" s="22"/>
      <c r="J7" s="23"/>
      <c r="K7" s="24"/>
    </row>
    <row r="8" customFormat="false" ht="23.85" hidden="false" customHeight="false" outlineLevel="0" collapsed="false">
      <c r="A8" s="11" t="n">
        <v>4</v>
      </c>
      <c r="B8" s="25" t="n">
        <f aca="false">'Start Here'!$B$4+A8-1</f>
        <v>46313</v>
      </c>
      <c r="C8" s="5" t="s">
        <v>57</v>
      </c>
      <c r="D8" s="26" t="s">
        <v>73</v>
      </c>
      <c r="E8" s="5" t="s">
        <v>74</v>
      </c>
      <c r="F8" s="5" t="s">
        <v>75</v>
      </c>
      <c r="G8" s="5" t="s">
        <v>76</v>
      </c>
      <c r="H8" s="5" t="s">
        <v>77</v>
      </c>
      <c r="I8" s="22"/>
      <c r="J8" s="23"/>
      <c r="K8" s="24"/>
    </row>
    <row r="9" customFormat="false" ht="23.85" hidden="false" customHeight="false" outlineLevel="0" collapsed="false">
      <c r="A9" s="11" t="n">
        <v>5</v>
      </c>
      <c r="B9" s="25" t="n">
        <f aca="false">'Start Here'!$B$4+A9-1</f>
        <v>46314</v>
      </c>
      <c r="C9" s="5" t="s">
        <v>57</v>
      </c>
      <c r="D9" s="26" t="s">
        <v>78</v>
      </c>
      <c r="E9" s="5" t="s">
        <v>79</v>
      </c>
      <c r="F9" s="5" t="s">
        <v>80</v>
      </c>
      <c r="G9" s="5" t="s">
        <v>81</v>
      </c>
      <c r="H9" s="5" t="s">
        <v>82</v>
      </c>
      <c r="I9" s="22"/>
      <c r="J9" s="23"/>
      <c r="K9" s="24"/>
    </row>
    <row r="10" customFormat="false" ht="23.85" hidden="false" customHeight="false" outlineLevel="0" collapsed="false">
      <c r="A10" s="11" t="n">
        <v>6</v>
      </c>
      <c r="B10" s="25" t="n">
        <f aca="false">'Start Here'!$B$4+A10-1</f>
        <v>46315</v>
      </c>
      <c r="C10" s="5" t="s">
        <v>57</v>
      </c>
      <c r="D10" s="26" t="s">
        <v>83</v>
      </c>
      <c r="E10" s="5" t="s">
        <v>84</v>
      </c>
      <c r="F10" s="5" t="s">
        <v>85</v>
      </c>
      <c r="G10" s="5" t="s">
        <v>86</v>
      </c>
      <c r="H10" s="5" t="s">
        <v>87</v>
      </c>
      <c r="I10" s="22"/>
      <c r="J10" s="23"/>
      <c r="K10" s="24"/>
    </row>
    <row r="11" customFormat="false" ht="23.85" hidden="false" customHeight="false" outlineLevel="0" collapsed="false">
      <c r="A11" s="27" t="n">
        <v>7</v>
      </c>
      <c r="B11" s="28" t="n">
        <f aca="false">'Start Here'!$B$4+A11-1</f>
        <v>46316</v>
      </c>
      <c r="C11" s="17" t="s">
        <v>57</v>
      </c>
      <c r="D11" s="29" t="s">
        <v>88</v>
      </c>
      <c r="E11" s="17" t="s">
        <v>89</v>
      </c>
      <c r="F11" s="17" t="s">
        <v>90</v>
      </c>
      <c r="G11" s="17" t="s">
        <v>91</v>
      </c>
      <c r="H11" s="17" t="s">
        <v>92</v>
      </c>
      <c r="I11" s="22"/>
      <c r="J11" s="23"/>
      <c r="K11" s="24"/>
    </row>
    <row r="12" customFormat="false" ht="23.85" hidden="false" customHeight="false" outlineLevel="0" collapsed="false">
      <c r="A12" s="11" t="n">
        <v>8</v>
      </c>
      <c r="B12" s="25" t="n">
        <f aca="false">'Start Here'!$B$4+A12-1</f>
        <v>46317</v>
      </c>
      <c r="C12" s="5" t="s">
        <v>57</v>
      </c>
      <c r="D12" s="26" t="s">
        <v>93</v>
      </c>
      <c r="E12" s="5" t="s">
        <v>94</v>
      </c>
      <c r="F12" s="5" t="s">
        <v>95</v>
      </c>
      <c r="G12" s="5" t="s">
        <v>96</v>
      </c>
      <c r="H12" s="5" t="s">
        <v>97</v>
      </c>
      <c r="I12" s="22"/>
      <c r="J12" s="23"/>
      <c r="K12" s="24"/>
    </row>
    <row r="13" customFormat="false" ht="23.85" hidden="false" customHeight="false" outlineLevel="0" collapsed="false">
      <c r="A13" s="11" t="n">
        <v>9</v>
      </c>
      <c r="B13" s="25" t="n">
        <f aca="false">'Start Here'!$B$4+A13-1</f>
        <v>46318</v>
      </c>
      <c r="C13" s="5" t="s">
        <v>57</v>
      </c>
      <c r="D13" s="26" t="s">
        <v>98</v>
      </c>
      <c r="E13" s="5" t="s">
        <v>99</v>
      </c>
      <c r="F13" s="5" t="s">
        <v>100</v>
      </c>
      <c r="G13" s="5" t="s">
        <v>101</v>
      </c>
      <c r="H13" s="5" t="s">
        <v>102</v>
      </c>
      <c r="I13" s="22"/>
      <c r="J13" s="23"/>
      <c r="K13" s="24"/>
    </row>
    <row r="14" customFormat="false" ht="23.85" hidden="false" customHeight="false" outlineLevel="0" collapsed="false">
      <c r="A14" s="11" t="n">
        <v>10</v>
      </c>
      <c r="B14" s="25" t="n">
        <f aca="false">'Start Here'!$B$4+A14-1</f>
        <v>46319</v>
      </c>
      <c r="C14" s="5" t="s">
        <v>57</v>
      </c>
      <c r="D14" s="26" t="s">
        <v>103</v>
      </c>
      <c r="E14" s="5" t="s">
        <v>104</v>
      </c>
      <c r="F14" s="5" t="s">
        <v>105</v>
      </c>
      <c r="G14" s="5" t="s">
        <v>106</v>
      </c>
      <c r="H14" s="5" t="s">
        <v>107</v>
      </c>
      <c r="I14" s="22"/>
      <c r="J14" s="23"/>
      <c r="K14" s="24"/>
    </row>
    <row r="15" customFormat="false" ht="23.85" hidden="false" customHeight="false" outlineLevel="0" collapsed="false">
      <c r="A15" s="11" t="n">
        <v>11</v>
      </c>
      <c r="B15" s="25" t="n">
        <f aca="false">'Start Here'!$B$4+A15-1</f>
        <v>46320</v>
      </c>
      <c r="C15" s="5" t="s">
        <v>57</v>
      </c>
      <c r="D15" s="26" t="s">
        <v>108</v>
      </c>
      <c r="E15" s="5" t="s">
        <v>109</v>
      </c>
      <c r="F15" s="5" t="s">
        <v>110</v>
      </c>
      <c r="G15" s="5" t="s">
        <v>111</v>
      </c>
      <c r="H15" s="5" t="s">
        <v>112</v>
      </c>
      <c r="I15" s="22"/>
      <c r="J15" s="23"/>
      <c r="K15" s="24"/>
    </row>
    <row r="16" customFormat="false" ht="23.85" hidden="false" customHeight="false" outlineLevel="0" collapsed="false">
      <c r="A16" s="11" t="n">
        <v>12</v>
      </c>
      <c r="B16" s="25" t="n">
        <f aca="false">'Start Here'!$B$4+A16-1</f>
        <v>46321</v>
      </c>
      <c r="C16" s="5" t="s">
        <v>57</v>
      </c>
      <c r="D16" s="26" t="s">
        <v>113</v>
      </c>
      <c r="E16" s="5" t="s">
        <v>114</v>
      </c>
      <c r="F16" s="5" t="s">
        <v>115</v>
      </c>
      <c r="G16" s="5" t="s">
        <v>116</v>
      </c>
      <c r="H16" s="5" t="s">
        <v>117</v>
      </c>
      <c r="I16" s="22"/>
      <c r="J16" s="23"/>
      <c r="K16" s="24"/>
    </row>
    <row r="17" customFormat="false" ht="23.85" hidden="false" customHeight="false" outlineLevel="0" collapsed="false">
      <c r="A17" s="11" t="n">
        <v>13</v>
      </c>
      <c r="B17" s="25" t="n">
        <f aca="false">'Start Here'!$B$4+A17-1</f>
        <v>46322</v>
      </c>
      <c r="C17" s="5" t="s">
        <v>57</v>
      </c>
      <c r="D17" s="26" t="s">
        <v>118</v>
      </c>
      <c r="E17" s="5" t="s">
        <v>119</v>
      </c>
      <c r="F17" s="5" t="s">
        <v>120</v>
      </c>
      <c r="G17" s="5" t="s">
        <v>121</v>
      </c>
      <c r="H17" s="5" t="s">
        <v>122</v>
      </c>
      <c r="I17" s="22"/>
      <c r="J17" s="23"/>
      <c r="K17" s="24"/>
    </row>
    <row r="18" customFormat="false" ht="23.85" hidden="false" customHeight="false" outlineLevel="0" collapsed="false">
      <c r="A18" s="19" t="n">
        <v>14</v>
      </c>
      <c r="B18" s="20" t="n">
        <f aca="false">'Start Here'!$B$4+A18-1</f>
        <v>46323</v>
      </c>
      <c r="C18" s="16" t="s">
        <v>57</v>
      </c>
      <c r="D18" s="21" t="s">
        <v>123</v>
      </c>
      <c r="E18" s="16" t="s">
        <v>124</v>
      </c>
      <c r="F18" s="16" t="s">
        <v>120</v>
      </c>
      <c r="G18" s="16" t="s">
        <v>125</v>
      </c>
      <c r="H18" s="16" t="s">
        <v>126</v>
      </c>
      <c r="I18" s="22"/>
      <c r="J18" s="23"/>
      <c r="K18" s="24"/>
    </row>
    <row r="19" customFormat="false" ht="23.85" hidden="false" customHeight="false" outlineLevel="0" collapsed="false">
      <c r="A19" s="11" t="n">
        <v>15</v>
      </c>
      <c r="B19" s="25" t="n">
        <f aca="false">'Start Here'!$B$4+A19-1</f>
        <v>46324</v>
      </c>
      <c r="C19" s="5" t="s">
        <v>127</v>
      </c>
      <c r="D19" s="26" t="s">
        <v>128</v>
      </c>
      <c r="E19" s="5" t="s">
        <v>129</v>
      </c>
      <c r="F19" s="5" t="s">
        <v>130</v>
      </c>
      <c r="G19" s="5" t="s">
        <v>131</v>
      </c>
      <c r="H19" s="5" t="s">
        <v>132</v>
      </c>
      <c r="I19" s="22"/>
      <c r="J19" s="23"/>
      <c r="K19" s="24"/>
    </row>
    <row r="20" customFormat="false" ht="23.85" hidden="false" customHeight="false" outlineLevel="0" collapsed="false">
      <c r="A20" s="11" t="n">
        <v>16</v>
      </c>
      <c r="B20" s="25" t="n">
        <f aca="false">'Start Here'!$B$4+A20-1</f>
        <v>46325</v>
      </c>
      <c r="C20" s="5" t="s">
        <v>127</v>
      </c>
      <c r="D20" s="26" t="s">
        <v>133</v>
      </c>
      <c r="E20" s="5" t="s">
        <v>134</v>
      </c>
      <c r="F20" s="5" t="s">
        <v>135</v>
      </c>
      <c r="G20" s="5" t="s">
        <v>136</v>
      </c>
      <c r="H20" s="5" t="s">
        <v>137</v>
      </c>
      <c r="I20" s="22"/>
      <c r="J20" s="23"/>
      <c r="K20" s="24"/>
    </row>
    <row r="21" customFormat="false" ht="23.85" hidden="false" customHeight="false" outlineLevel="0" collapsed="false">
      <c r="A21" s="11" t="n">
        <v>17</v>
      </c>
      <c r="B21" s="25" t="n">
        <f aca="false">'Start Here'!$B$4+A21-1</f>
        <v>46326</v>
      </c>
      <c r="C21" s="5" t="s">
        <v>127</v>
      </c>
      <c r="D21" s="26" t="s">
        <v>138</v>
      </c>
      <c r="E21" s="5" t="s">
        <v>139</v>
      </c>
      <c r="F21" s="5" t="s">
        <v>120</v>
      </c>
      <c r="G21" s="5" t="s">
        <v>140</v>
      </c>
      <c r="H21" s="5" t="s">
        <v>141</v>
      </c>
      <c r="I21" s="22"/>
      <c r="J21" s="23"/>
      <c r="K21" s="24"/>
    </row>
    <row r="22" customFormat="false" ht="23.85" hidden="false" customHeight="false" outlineLevel="0" collapsed="false">
      <c r="A22" s="11" t="n">
        <v>18</v>
      </c>
      <c r="B22" s="25" t="n">
        <f aca="false">'Start Here'!$B$4+A22-1</f>
        <v>46327</v>
      </c>
      <c r="C22" s="5" t="s">
        <v>127</v>
      </c>
      <c r="D22" s="26" t="s">
        <v>142</v>
      </c>
      <c r="E22" s="5" t="s">
        <v>143</v>
      </c>
      <c r="F22" s="5" t="s">
        <v>144</v>
      </c>
      <c r="G22" s="5" t="s">
        <v>145</v>
      </c>
      <c r="H22" s="5" t="s">
        <v>146</v>
      </c>
      <c r="I22" s="22"/>
      <c r="J22" s="23"/>
      <c r="K22" s="24"/>
    </row>
    <row r="23" customFormat="false" ht="23.85" hidden="false" customHeight="false" outlineLevel="0" collapsed="false">
      <c r="A23" s="11" t="n">
        <v>19</v>
      </c>
      <c r="B23" s="25" t="n">
        <f aca="false">'Start Here'!$B$4+A23-1</f>
        <v>46328</v>
      </c>
      <c r="C23" s="5" t="s">
        <v>127</v>
      </c>
      <c r="D23" s="26" t="s">
        <v>147</v>
      </c>
      <c r="E23" s="5" t="s">
        <v>148</v>
      </c>
      <c r="F23" s="5" t="s">
        <v>149</v>
      </c>
      <c r="G23" s="5" t="s">
        <v>150</v>
      </c>
      <c r="H23" s="5" t="s">
        <v>151</v>
      </c>
      <c r="I23" s="22"/>
      <c r="J23" s="23"/>
      <c r="K23" s="24"/>
    </row>
    <row r="24" customFormat="false" ht="23.85" hidden="false" customHeight="false" outlineLevel="0" collapsed="false">
      <c r="A24" s="11" t="n">
        <v>20</v>
      </c>
      <c r="B24" s="25" t="n">
        <f aca="false">'Start Here'!$B$4+A24-1</f>
        <v>46329</v>
      </c>
      <c r="C24" s="5" t="s">
        <v>127</v>
      </c>
      <c r="D24" s="26" t="s">
        <v>152</v>
      </c>
      <c r="E24" s="5" t="s">
        <v>153</v>
      </c>
      <c r="F24" s="5" t="s">
        <v>154</v>
      </c>
      <c r="G24" s="5" t="s">
        <v>155</v>
      </c>
      <c r="H24" s="5" t="s">
        <v>156</v>
      </c>
      <c r="I24" s="22"/>
      <c r="J24" s="23"/>
      <c r="K24" s="24"/>
    </row>
    <row r="25" customFormat="false" ht="23.85" hidden="false" customHeight="false" outlineLevel="0" collapsed="false">
      <c r="A25" s="19" t="n">
        <v>21</v>
      </c>
      <c r="B25" s="20" t="n">
        <f aca="false">'Start Here'!$B$4+A25-1</f>
        <v>46330</v>
      </c>
      <c r="C25" s="16" t="s">
        <v>127</v>
      </c>
      <c r="D25" s="21" t="s">
        <v>157</v>
      </c>
      <c r="E25" s="16" t="s">
        <v>158</v>
      </c>
      <c r="F25" s="16" t="s">
        <v>159</v>
      </c>
      <c r="G25" s="16" t="s">
        <v>160</v>
      </c>
      <c r="H25" s="16" t="s">
        <v>161</v>
      </c>
      <c r="I25" s="22"/>
      <c r="J25" s="23"/>
      <c r="K25" s="24"/>
    </row>
    <row r="26" customFormat="false" ht="23.85" hidden="false" customHeight="false" outlineLevel="0" collapsed="false">
      <c r="A26" s="11" t="n">
        <v>22</v>
      </c>
      <c r="B26" s="25" t="n">
        <f aca="false">'Start Here'!$B$4+A26-1</f>
        <v>46331</v>
      </c>
      <c r="C26" s="5" t="s">
        <v>127</v>
      </c>
      <c r="D26" s="26" t="s">
        <v>162</v>
      </c>
      <c r="E26" s="5" t="s">
        <v>163</v>
      </c>
      <c r="F26" s="5" t="s">
        <v>164</v>
      </c>
      <c r="G26" s="5" t="s">
        <v>96</v>
      </c>
      <c r="H26" s="5" t="s">
        <v>165</v>
      </c>
      <c r="I26" s="22"/>
      <c r="J26" s="23"/>
      <c r="K26" s="24"/>
    </row>
    <row r="27" customFormat="false" ht="23.85" hidden="false" customHeight="false" outlineLevel="0" collapsed="false">
      <c r="A27" s="11" t="n">
        <v>23</v>
      </c>
      <c r="B27" s="25" t="n">
        <f aca="false">'Start Here'!$B$4+A27-1</f>
        <v>46332</v>
      </c>
      <c r="C27" s="5" t="s">
        <v>127</v>
      </c>
      <c r="D27" s="26" t="s">
        <v>166</v>
      </c>
      <c r="E27" s="5" t="s">
        <v>167</v>
      </c>
      <c r="F27" s="5" t="s">
        <v>168</v>
      </c>
      <c r="G27" s="5" t="s">
        <v>169</v>
      </c>
      <c r="H27" s="5" t="s">
        <v>170</v>
      </c>
      <c r="I27" s="22"/>
      <c r="J27" s="23"/>
      <c r="K27" s="24"/>
    </row>
    <row r="28" customFormat="false" ht="23.85" hidden="false" customHeight="false" outlineLevel="0" collapsed="false">
      <c r="A28" s="11" t="n">
        <v>24</v>
      </c>
      <c r="B28" s="25" t="n">
        <f aca="false">'Start Here'!$B$4+A28-1</f>
        <v>46333</v>
      </c>
      <c r="C28" s="5" t="s">
        <v>127</v>
      </c>
      <c r="D28" s="26" t="s">
        <v>171</v>
      </c>
      <c r="E28" s="5" t="s">
        <v>172</v>
      </c>
      <c r="F28" s="5" t="s">
        <v>120</v>
      </c>
      <c r="G28" s="5" t="s">
        <v>116</v>
      </c>
      <c r="H28" s="5" t="s">
        <v>173</v>
      </c>
      <c r="I28" s="22"/>
      <c r="J28" s="23"/>
      <c r="K28" s="24"/>
    </row>
    <row r="29" customFormat="false" ht="23.85" hidden="false" customHeight="false" outlineLevel="0" collapsed="false">
      <c r="A29" s="11" t="n">
        <v>25</v>
      </c>
      <c r="B29" s="25" t="n">
        <f aca="false">'Start Here'!$B$4+A29-1</f>
        <v>46334</v>
      </c>
      <c r="C29" s="5" t="s">
        <v>127</v>
      </c>
      <c r="D29" s="26" t="s">
        <v>174</v>
      </c>
      <c r="E29" s="5" t="s">
        <v>175</v>
      </c>
      <c r="F29" s="5" t="s">
        <v>176</v>
      </c>
      <c r="G29" s="5" t="s">
        <v>177</v>
      </c>
      <c r="H29" s="5" t="s">
        <v>178</v>
      </c>
      <c r="I29" s="22"/>
      <c r="J29" s="23"/>
      <c r="K29" s="24"/>
    </row>
    <row r="30" customFormat="false" ht="23.85" hidden="false" customHeight="false" outlineLevel="0" collapsed="false">
      <c r="A30" s="11" t="n">
        <v>26</v>
      </c>
      <c r="B30" s="25" t="n">
        <f aca="false">'Start Here'!$B$4+A30-1</f>
        <v>46335</v>
      </c>
      <c r="C30" s="5" t="s">
        <v>127</v>
      </c>
      <c r="D30" s="26" t="s">
        <v>179</v>
      </c>
      <c r="E30" s="5" t="s">
        <v>180</v>
      </c>
      <c r="F30" s="5" t="s">
        <v>181</v>
      </c>
      <c r="G30" s="5" t="s">
        <v>106</v>
      </c>
      <c r="H30" s="5" t="s">
        <v>182</v>
      </c>
      <c r="I30" s="22"/>
      <c r="J30" s="23"/>
      <c r="K30" s="24"/>
    </row>
    <row r="31" customFormat="false" ht="23.85" hidden="false" customHeight="false" outlineLevel="0" collapsed="false">
      <c r="A31" s="11" t="n">
        <v>27</v>
      </c>
      <c r="B31" s="25" t="n">
        <f aca="false">'Start Here'!$B$4+A31-1</f>
        <v>46336</v>
      </c>
      <c r="C31" s="5" t="s">
        <v>127</v>
      </c>
      <c r="D31" s="26" t="s">
        <v>183</v>
      </c>
      <c r="E31" s="5" t="s">
        <v>184</v>
      </c>
      <c r="F31" s="5" t="s">
        <v>185</v>
      </c>
      <c r="G31" s="5" t="s">
        <v>186</v>
      </c>
      <c r="H31" s="5" t="s">
        <v>187</v>
      </c>
      <c r="I31" s="22"/>
      <c r="J31" s="23"/>
      <c r="K31" s="24"/>
    </row>
    <row r="32" customFormat="false" ht="23.85" hidden="false" customHeight="false" outlineLevel="0" collapsed="false">
      <c r="A32" s="19" t="n">
        <v>28</v>
      </c>
      <c r="B32" s="20" t="n">
        <f aca="false">'Start Here'!$B$4+A32-1</f>
        <v>46337</v>
      </c>
      <c r="C32" s="16" t="s">
        <v>127</v>
      </c>
      <c r="D32" s="21" t="s">
        <v>188</v>
      </c>
      <c r="E32" s="16" t="s">
        <v>189</v>
      </c>
      <c r="F32" s="16" t="s">
        <v>190</v>
      </c>
      <c r="G32" s="16" t="s">
        <v>191</v>
      </c>
      <c r="H32" s="16" t="s">
        <v>192</v>
      </c>
      <c r="I32" s="22"/>
      <c r="J32" s="23"/>
      <c r="K32" s="24"/>
    </row>
    <row r="33" customFormat="false" ht="23.85" hidden="false" customHeight="false" outlineLevel="0" collapsed="false">
      <c r="A33" s="11" t="n">
        <v>29</v>
      </c>
      <c r="B33" s="25" t="n">
        <f aca="false">'Start Here'!$B$4+A33-1</f>
        <v>46338</v>
      </c>
      <c r="C33" s="5" t="s">
        <v>193</v>
      </c>
      <c r="D33" s="26" t="s">
        <v>194</v>
      </c>
      <c r="E33" s="5" t="s">
        <v>195</v>
      </c>
      <c r="F33" s="5" t="s">
        <v>196</v>
      </c>
      <c r="G33" s="5" t="s">
        <v>197</v>
      </c>
      <c r="H33" s="5" t="s">
        <v>198</v>
      </c>
      <c r="I33" s="22"/>
      <c r="J33" s="23"/>
      <c r="K33" s="24"/>
    </row>
    <row r="34" customFormat="false" ht="23.85" hidden="false" customHeight="false" outlineLevel="0" collapsed="false">
      <c r="A34" s="11" t="n">
        <v>30</v>
      </c>
      <c r="B34" s="25" t="n">
        <f aca="false">'Start Here'!$B$4+A34-1</f>
        <v>46339</v>
      </c>
      <c r="C34" s="5" t="s">
        <v>193</v>
      </c>
      <c r="D34" s="26" t="s">
        <v>199</v>
      </c>
      <c r="E34" s="5" t="s">
        <v>200</v>
      </c>
      <c r="F34" s="5" t="s">
        <v>201</v>
      </c>
      <c r="G34" s="5" t="s">
        <v>202</v>
      </c>
      <c r="H34" s="5" t="s">
        <v>203</v>
      </c>
      <c r="I34" s="22"/>
      <c r="J34" s="23"/>
      <c r="K34" s="24"/>
    </row>
    <row r="35" customFormat="false" ht="23.85" hidden="false" customHeight="false" outlineLevel="0" collapsed="false">
      <c r="A35" s="11" t="n">
        <v>31</v>
      </c>
      <c r="B35" s="25" t="n">
        <f aca="false">'Start Here'!$B$4+A35-1</f>
        <v>46340</v>
      </c>
      <c r="C35" s="5" t="s">
        <v>193</v>
      </c>
      <c r="D35" s="26" t="s">
        <v>204</v>
      </c>
      <c r="E35" s="5" t="s">
        <v>205</v>
      </c>
      <c r="F35" s="5" t="s">
        <v>206</v>
      </c>
      <c r="G35" s="5" t="s">
        <v>207</v>
      </c>
      <c r="H35" s="5" t="s">
        <v>208</v>
      </c>
      <c r="I35" s="22"/>
      <c r="J35" s="23"/>
      <c r="K35" s="24"/>
    </row>
    <row r="36" customFormat="false" ht="23.85" hidden="false" customHeight="false" outlineLevel="0" collapsed="false">
      <c r="A36" s="11" t="n">
        <v>32</v>
      </c>
      <c r="B36" s="25" t="n">
        <f aca="false">'Start Here'!$B$4+A36-1</f>
        <v>46341</v>
      </c>
      <c r="C36" s="5" t="s">
        <v>193</v>
      </c>
      <c r="D36" s="26" t="s">
        <v>209</v>
      </c>
      <c r="E36" s="5" t="s">
        <v>139</v>
      </c>
      <c r="F36" s="5" t="s">
        <v>210</v>
      </c>
      <c r="G36" s="5" t="s">
        <v>211</v>
      </c>
      <c r="H36" s="5" t="s">
        <v>178</v>
      </c>
      <c r="I36" s="22"/>
      <c r="J36" s="23"/>
      <c r="K36" s="24"/>
    </row>
    <row r="37" customFormat="false" ht="23.85" hidden="false" customHeight="false" outlineLevel="0" collapsed="false">
      <c r="A37" s="11" t="n">
        <v>33</v>
      </c>
      <c r="B37" s="25" t="n">
        <f aca="false">'Start Here'!$B$4+A37-1</f>
        <v>46342</v>
      </c>
      <c r="C37" s="5" t="s">
        <v>193</v>
      </c>
      <c r="D37" s="26" t="s">
        <v>212</v>
      </c>
      <c r="E37" s="5" t="s">
        <v>213</v>
      </c>
      <c r="F37" s="5" t="s">
        <v>196</v>
      </c>
      <c r="G37" s="5" t="s">
        <v>214</v>
      </c>
      <c r="H37" s="5" t="s">
        <v>215</v>
      </c>
      <c r="I37" s="22"/>
      <c r="J37" s="23"/>
      <c r="K37" s="24"/>
    </row>
    <row r="38" customFormat="false" ht="23.85" hidden="false" customHeight="false" outlineLevel="0" collapsed="false">
      <c r="A38" s="11" t="n">
        <v>34</v>
      </c>
      <c r="B38" s="25" t="n">
        <f aca="false">'Start Here'!$B$4+A38-1</f>
        <v>46343</v>
      </c>
      <c r="C38" s="5" t="s">
        <v>193</v>
      </c>
      <c r="D38" s="26" t="s">
        <v>216</v>
      </c>
      <c r="E38" s="5" t="s">
        <v>217</v>
      </c>
      <c r="F38" s="5" t="s">
        <v>120</v>
      </c>
      <c r="G38" s="5" t="s">
        <v>218</v>
      </c>
      <c r="H38" s="5" t="s">
        <v>219</v>
      </c>
      <c r="I38" s="22"/>
      <c r="J38" s="23"/>
      <c r="K38" s="24"/>
    </row>
    <row r="39" customFormat="false" ht="23.85" hidden="false" customHeight="false" outlineLevel="0" collapsed="false">
      <c r="A39" s="19" t="n">
        <v>35</v>
      </c>
      <c r="B39" s="20" t="n">
        <f aca="false">'Start Here'!$B$4+A39-1</f>
        <v>46344</v>
      </c>
      <c r="C39" s="16" t="s">
        <v>193</v>
      </c>
      <c r="D39" s="21" t="s">
        <v>220</v>
      </c>
      <c r="E39" s="16" t="s">
        <v>221</v>
      </c>
      <c r="F39" s="16" t="s">
        <v>222</v>
      </c>
      <c r="G39" s="16" t="s">
        <v>191</v>
      </c>
      <c r="H39" s="16" t="s">
        <v>223</v>
      </c>
      <c r="I39" s="22"/>
      <c r="J39" s="23"/>
      <c r="K39" s="24"/>
    </row>
    <row r="40" customFormat="false" ht="23.85" hidden="false" customHeight="false" outlineLevel="0" collapsed="false">
      <c r="A40" s="11" t="n">
        <v>36</v>
      </c>
      <c r="B40" s="25" t="n">
        <f aca="false">'Start Here'!$B$4+A40-1</f>
        <v>46345</v>
      </c>
      <c r="C40" s="5" t="s">
        <v>193</v>
      </c>
      <c r="D40" s="26" t="s">
        <v>224</v>
      </c>
      <c r="E40" s="5" t="s">
        <v>225</v>
      </c>
      <c r="F40" s="5" t="s">
        <v>226</v>
      </c>
      <c r="G40" s="5" t="s">
        <v>227</v>
      </c>
      <c r="H40" s="5" t="s">
        <v>228</v>
      </c>
      <c r="I40" s="22"/>
      <c r="J40" s="23"/>
      <c r="K40" s="24"/>
    </row>
    <row r="41" customFormat="false" ht="23.85" hidden="false" customHeight="false" outlineLevel="0" collapsed="false">
      <c r="A41" s="11" t="n">
        <v>37</v>
      </c>
      <c r="B41" s="25" t="n">
        <f aca="false">'Start Here'!$B$4+A41-1</f>
        <v>46346</v>
      </c>
      <c r="C41" s="5" t="s">
        <v>193</v>
      </c>
      <c r="D41" s="26" t="s">
        <v>229</v>
      </c>
      <c r="E41" s="5" t="s">
        <v>230</v>
      </c>
      <c r="F41" s="5" t="s">
        <v>231</v>
      </c>
      <c r="G41" s="5" t="s">
        <v>232</v>
      </c>
      <c r="H41" s="5" t="s">
        <v>233</v>
      </c>
      <c r="I41" s="22"/>
      <c r="J41" s="23"/>
      <c r="K41" s="24"/>
    </row>
    <row r="42" customFormat="false" ht="23.85" hidden="false" customHeight="false" outlineLevel="0" collapsed="false">
      <c r="A42" s="11" t="n">
        <v>38</v>
      </c>
      <c r="B42" s="25" t="n">
        <f aca="false">'Start Here'!$B$4+A42-1</f>
        <v>46347</v>
      </c>
      <c r="C42" s="5" t="s">
        <v>193</v>
      </c>
      <c r="D42" s="26" t="s">
        <v>234</v>
      </c>
      <c r="E42" s="5" t="s">
        <v>235</v>
      </c>
      <c r="F42" s="5" t="s">
        <v>236</v>
      </c>
      <c r="G42" s="5" t="s">
        <v>237</v>
      </c>
      <c r="H42" s="5" t="s">
        <v>178</v>
      </c>
      <c r="I42" s="22"/>
      <c r="J42" s="23"/>
      <c r="K42" s="24"/>
    </row>
    <row r="43" customFormat="false" ht="23.85" hidden="false" customHeight="false" outlineLevel="0" collapsed="false">
      <c r="A43" s="11" t="n">
        <v>39</v>
      </c>
      <c r="B43" s="25" t="n">
        <f aca="false">'Start Here'!$B$4+A43-1</f>
        <v>46348</v>
      </c>
      <c r="C43" s="5" t="s">
        <v>193</v>
      </c>
      <c r="D43" s="26" t="s">
        <v>212</v>
      </c>
      <c r="E43" s="5" t="s">
        <v>213</v>
      </c>
      <c r="F43" s="5" t="s">
        <v>201</v>
      </c>
      <c r="G43" s="5" t="s">
        <v>116</v>
      </c>
      <c r="H43" s="5" t="s">
        <v>238</v>
      </c>
      <c r="I43" s="22"/>
      <c r="J43" s="23"/>
      <c r="K43" s="24"/>
    </row>
    <row r="44" customFormat="false" ht="23.85" hidden="false" customHeight="false" outlineLevel="0" collapsed="false">
      <c r="A44" s="11" t="n">
        <v>40</v>
      </c>
      <c r="B44" s="25" t="n">
        <f aca="false">'Start Here'!$B$4+A44-1</f>
        <v>46349</v>
      </c>
      <c r="C44" s="5" t="s">
        <v>193</v>
      </c>
      <c r="D44" s="26" t="s">
        <v>239</v>
      </c>
      <c r="E44" s="5" t="s">
        <v>240</v>
      </c>
      <c r="F44" s="5" t="s">
        <v>241</v>
      </c>
      <c r="G44" s="5" t="s">
        <v>242</v>
      </c>
      <c r="H44" s="5" t="s">
        <v>243</v>
      </c>
      <c r="I44" s="22"/>
      <c r="J44" s="23"/>
      <c r="K44" s="24"/>
    </row>
    <row r="45" customFormat="false" ht="23.85" hidden="false" customHeight="false" outlineLevel="0" collapsed="false">
      <c r="A45" s="27" t="n">
        <v>41</v>
      </c>
      <c r="B45" s="28" t="n">
        <f aca="false">'Start Here'!$B$4+A45-1</f>
        <v>46350</v>
      </c>
      <c r="C45" s="17" t="s">
        <v>193</v>
      </c>
      <c r="D45" s="29" t="s">
        <v>88</v>
      </c>
      <c r="E45" s="17" t="s">
        <v>244</v>
      </c>
      <c r="F45" s="17" t="s">
        <v>245</v>
      </c>
      <c r="G45" s="17" t="s">
        <v>246</v>
      </c>
      <c r="H45" s="17" t="s">
        <v>247</v>
      </c>
      <c r="I45" s="22"/>
      <c r="J45" s="23"/>
      <c r="K45" s="24"/>
    </row>
    <row r="46" customFormat="false" ht="23.85" hidden="false" customHeight="false" outlineLevel="0" collapsed="false">
      <c r="A46" s="19" t="n">
        <v>42</v>
      </c>
      <c r="B46" s="20" t="n">
        <f aca="false">'Start Here'!$B$4+A46-1</f>
        <v>46351</v>
      </c>
      <c r="C46" s="16" t="s">
        <v>193</v>
      </c>
      <c r="D46" s="21" t="s">
        <v>248</v>
      </c>
      <c r="E46" s="16" t="s">
        <v>249</v>
      </c>
      <c r="F46" s="16" t="s">
        <v>250</v>
      </c>
      <c r="G46" s="16" t="s">
        <v>191</v>
      </c>
      <c r="H46" s="16" t="s">
        <v>251</v>
      </c>
      <c r="I46" s="22"/>
      <c r="J46" s="23"/>
      <c r="K46" s="24"/>
    </row>
    <row r="47" customFormat="false" ht="23.85" hidden="false" customHeight="false" outlineLevel="0" collapsed="false">
      <c r="A47" s="11" t="n">
        <v>43</v>
      </c>
      <c r="B47" s="25" t="n">
        <f aca="false">'Start Here'!$B$4+A47-1</f>
        <v>46352</v>
      </c>
      <c r="C47" s="5" t="s">
        <v>252</v>
      </c>
      <c r="D47" s="26" t="s">
        <v>253</v>
      </c>
      <c r="E47" s="5" t="s">
        <v>225</v>
      </c>
      <c r="F47" s="5" t="s">
        <v>196</v>
      </c>
      <c r="G47" s="5" t="s">
        <v>254</v>
      </c>
      <c r="H47" s="5" t="s">
        <v>255</v>
      </c>
      <c r="I47" s="22"/>
      <c r="J47" s="23"/>
      <c r="K47" s="24"/>
    </row>
    <row r="48" customFormat="false" ht="23.85" hidden="false" customHeight="false" outlineLevel="0" collapsed="false">
      <c r="A48" s="11" t="n">
        <v>44</v>
      </c>
      <c r="B48" s="25" t="n">
        <f aca="false">'Start Here'!$B$4+A48-1</f>
        <v>46353</v>
      </c>
      <c r="C48" s="5" t="s">
        <v>252</v>
      </c>
      <c r="D48" s="26" t="s">
        <v>256</v>
      </c>
      <c r="E48" s="5" t="s">
        <v>257</v>
      </c>
      <c r="F48" s="5" t="s">
        <v>258</v>
      </c>
      <c r="G48" s="5" t="s">
        <v>259</v>
      </c>
      <c r="H48" s="5" t="s">
        <v>260</v>
      </c>
      <c r="I48" s="22"/>
      <c r="J48" s="23"/>
      <c r="K48" s="24"/>
    </row>
    <row r="49" customFormat="false" ht="23.85" hidden="false" customHeight="false" outlineLevel="0" collapsed="false">
      <c r="A49" s="11" t="n">
        <v>45</v>
      </c>
      <c r="B49" s="25" t="n">
        <f aca="false">'Start Here'!$B$4+A49-1</f>
        <v>46354</v>
      </c>
      <c r="C49" s="5" t="s">
        <v>252</v>
      </c>
      <c r="D49" s="26" t="s">
        <v>261</v>
      </c>
      <c r="E49" s="5" t="s">
        <v>262</v>
      </c>
      <c r="F49" s="5" t="s">
        <v>263</v>
      </c>
      <c r="G49" s="5" t="s">
        <v>264</v>
      </c>
      <c r="H49" s="5" t="s">
        <v>178</v>
      </c>
      <c r="I49" s="22"/>
      <c r="J49" s="23"/>
      <c r="K49" s="24"/>
    </row>
    <row r="50" customFormat="false" ht="23.85" hidden="false" customHeight="false" outlineLevel="0" collapsed="false">
      <c r="A50" s="11" t="n">
        <v>46</v>
      </c>
      <c r="B50" s="25" t="n">
        <f aca="false">'Start Here'!$B$4+A50-1</f>
        <v>46355</v>
      </c>
      <c r="C50" s="5" t="s">
        <v>252</v>
      </c>
      <c r="D50" s="26" t="s">
        <v>265</v>
      </c>
      <c r="E50" s="5" t="s">
        <v>139</v>
      </c>
      <c r="F50" s="5" t="s">
        <v>181</v>
      </c>
      <c r="G50" s="5" t="s">
        <v>266</v>
      </c>
      <c r="H50" s="5" t="s">
        <v>267</v>
      </c>
      <c r="I50" s="22"/>
      <c r="J50" s="23"/>
      <c r="K50" s="24"/>
    </row>
    <row r="51" customFormat="false" ht="23.85" hidden="false" customHeight="false" outlineLevel="0" collapsed="false">
      <c r="A51" s="11" t="n">
        <v>47</v>
      </c>
      <c r="B51" s="25" t="n">
        <f aca="false">'Start Here'!$B$4+A51-1</f>
        <v>46356</v>
      </c>
      <c r="C51" s="5" t="s">
        <v>252</v>
      </c>
      <c r="D51" s="26" t="s">
        <v>212</v>
      </c>
      <c r="E51" s="5" t="s">
        <v>213</v>
      </c>
      <c r="F51" s="5" t="s">
        <v>196</v>
      </c>
      <c r="G51" s="5" t="s">
        <v>268</v>
      </c>
      <c r="H51" s="5" t="s">
        <v>269</v>
      </c>
      <c r="I51" s="22"/>
      <c r="J51" s="23"/>
      <c r="K51" s="24"/>
    </row>
    <row r="52" customFormat="false" ht="23.85" hidden="false" customHeight="false" outlineLevel="0" collapsed="false">
      <c r="A52" s="11" t="n">
        <v>48</v>
      </c>
      <c r="B52" s="25" t="n">
        <f aca="false">'Start Here'!$B$4+A52-1</f>
        <v>46357</v>
      </c>
      <c r="C52" s="5" t="s">
        <v>252</v>
      </c>
      <c r="D52" s="26" t="s">
        <v>270</v>
      </c>
      <c r="E52" s="5" t="s">
        <v>271</v>
      </c>
      <c r="F52" s="5" t="s">
        <v>272</v>
      </c>
      <c r="G52" s="5" t="s">
        <v>273</v>
      </c>
      <c r="H52" s="5" t="s">
        <v>178</v>
      </c>
      <c r="I52" s="22"/>
      <c r="J52" s="23"/>
      <c r="K52" s="24"/>
    </row>
    <row r="53" customFormat="false" ht="23.85" hidden="false" customHeight="false" outlineLevel="0" collapsed="false">
      <c r="A53" s="19" t="n">
        <v>49</v>
      </c>
      <c r="B53" s="20" t="n">
        <f aca="false">'Start Here'!$B$4+A53-1</f>
        <v>46358</v>
      </c>
      <c r="C53" s="16" t="s">
        <v>252</v>
      </c>
      <c r="D53" s="21" t="s">
        <v>274</v>
      </c>
      <c r="E53" s="16" t="s">
        <v>275</v>
      </c>
      <c r="F53" s="16" t="s">
        <v>276</v>
      </c>
      <c r="G53" s="16" t="s">
        <v>191</v>
      </c>
      <c r="H53" s="16" t="s">
        <v>223</v>
      </c>
      <c r="I53" s="22"/>
      <c r="J53" s="23"/>
      <c r="K53" s="24"/>
    </row>
    <row r="54" customFormat="false" ht="23.85" hidden="false" customHeight="false" outlineLevel="0" collapsed="false">
      <c r="A54" s="11" t="n">
        <v>50</v>
      </c>
      <c r="B54" s="25" t="n">
        <f aca="false">'Start Here'!$B$4+A54-1</f>
        <v>46359</v>
      </c>
      <c r="C54" s="5" t="s">
        <v>252</v>
      </c>
      <c r="D54" s="26" t="s">
        <v>277</v>
      </c>
      <c r="E54" s="5" t="s">
        <v>225</v>
      </c>
      <c r="F54" s="5" t="s">
        <v>226</v>
      </c>
      <c r="G54" s="5" t="s">
        <v>278</v>
      </c>
      <c r="H54" s="5" t="s">
        <v>279</v>
      </c>
      <c r="I54" s="22"/>
      <c r="J54" s="23"/>
      <c r="K54" s="24"/>
    </row>
    <row r="55" customFormat="false" ht="23.85" hidden="false" customHeight="false" outlineLevel="0" collapsed="false">
      <c r="A55" s="11" t="n">
        <v>51</v>
      </c>
      <c r="B55" s="25" t="n">
        <f aca="false">'Start Here'!$B$4+A55-1</f>
        <v>46360</v>
      </c>
      <c r="C55" s="5" t="s">
        <v>252</v>
      </c>
      <c r="D55" s="26" t="s">
        <v>280</v>
      </c>
      <c r="E55" s="5" t="s">
        <v>281</v>
      </c>
      <c r="F55" s="5" t="s">
        <v>201</v>
      </c>
      <c r="G55" s="5" t="s">
        <v>282</v>
      </c>
      <c r="H55" s="5" t="s">
        <v>283</v>
      </c>
      <c r="I55" s="22"/>
      <c r="J55" s="23"/>
      <c r="K55" s="24"/>
    </row>
    <row r="56" customFormat="false" ht="23.85" hidden="false" customHeight="false" outlineLevel="0" collapsed="false">
      <c r="A56" s="11" t="n">
        <v>52</v>
      </c>
      <c r="B56" s="25" t="n">
        <f aca="false">'Start Here'!$B$4+A56-1</f>
        <v>46361</v>
      </c>
      <c r="C56" s="5" t="s">
        <v>252</v>
      </c>
      <c r="D56" s="26" t="s">
        <v>284</v>
      </c>
      <c r="E56" s="5" t="s">
        <v>285</v>
      </c>
      <c r="F56" s="5" t="s">
        <v>120</v>
      </c>
      <c r="G56" s="5" t="s">
        <v>286</v>
      </c>
      <c r="H56" s="5" t="s">
        <v>178</v>
      </c>
      <c r="I56" s="22"/>
      <c r="J56" s="23"/>
      <c r="K56" s="24"/>
    </row>
    <row r="57" customFormat="false" ht="23.85" hidden="false" customHeight="false" outlineLevel="0" collapsed="false">
      <c r="A57" s="27" t="n">
        <v>53</v>
      </c>
      <c r="B57" s="28" t="n">
        <f aca="false">'Start Here'!$B$4+A57-1</f>
        <v>46362</v>
      </c>
      <c r="C57" s="17" t="s">
        <v>252</v>
      </c>
      <c r="D57" s="29" t="s">
        <v>287</v>
      </c>
      <c r="E57" s="17" t="s">
        <v>288</v>
      </c>
      <c r="F57" s="17" t="s">
        <v>289</v>
      </c>
      <c r="G57" s="17" t="s">
        <v>290</v>
      </c>
      <c r="H57" s="17" t="s">
        <v>291</v>
      </c>
      <c r="I57" s="22"/>
      <c r="J57" s="23"/>
      <c r="K57" s="24"/>
    </row>
    <row r="58" customFormat="false" ht="23.85" hidden="false" customHeight="false" outlineLevel="0" collapsed="false">
      <c r="A58" s="19" t="n">
        <v>54</v>
      </c>
      <c r="B58" s="20" t="n">
        <f aca="false">'Start Here'!$B$4+A58-1</f>
        <v>46363</v>
      </c>
      <c r="C58" s="16" t="s">
        <v>252</v>
      </c>
      <c r="D58" s="21" t="s">
        <v>292</v>
      </c>
      <c r="E58" s="16" t="s">
        <v>293</v>
      </c>
      <c r="F58" s="16" t="s">
        <v>294</v>
      </c>
      <c r="G58" s="16" t="s">
        <v>191</v>
      </c>
      <c r="H58" s="16" t="s">
        <v>251</v>
      </c>
      <c r="I58" s="22"/>
      <c r="J58" s="23"/>
      <c r="K58" s="24"/>
    </row>
    <row r="59" customFormat="false" ht="23.85" hidden="false" customHeight="false" outlineLevel="0" collapsed="false">
      <c r="A59" s="11" t="n">
        <v>55</v>
      </c>
      <c r="B59" s="25" t="n">
        <f aca="false">'Start Here'!$B$4+A59-1</f>
        <v>46364</v>
      </c>
      <c r="C59" s="5" t="s">
        <v>252</v>
      </c>
      <c r="D59" s="26" t="s">
        <v>295</v>
      </c>
      <c r="E59" s="5" t="s">
        <v>296</v>
      </c>
      <c r="F59" s="5" t="s">
        <v>296</v>
      </c>
      <c r="G59" s="5" t="s">
        <v>297</v>
      </c>
      <c r="H59" s="5" t="s">
        <v>298</v>
      </c>
      <c r="I59" s="22"/>
      <c r="J59" s="23"/>
      <c r="K59" s="24"/>
    </row>
    <row r="60" customFormat="false" ht="23.85" hidden="false" customHeight="false" outlineLevel="0" collapsed="false">
      <c r="A60" s="27" t="n">
        <v>56</v>
      </c>
      <c r="B60" s="28" t="n">
        <f aca="false">'Start Here'!$B$4+A60-1</f>
        <v>46365</v>
      </c>
      <c r="C60" s="17" t="s">
        <v>252</v>
      </c>
      <c r="D60" s="29" t="s">
        <v>88</v>
      </c>
      <c r="E60" s="17" t="s">
        <v>299</v>
      </c>
      <c r="F60" s="17" t="s">
        <v>300</v>
      </c>
      <c r="G60" s="17" t="s">
        <v>301</v>
      </c>
      <c r="H60" s="17" t="s">
        <v>247</v>
      </c>
      <c r="I60" s="22"/>
      <c r="J60" s="23"/>
      <c r="K60" s="24"/>
    </row>
    <row r="61" customFormat="false" ht="15" hidden="false" customHeight="false" outlineLevel="0" collapsed="false">
      <c r="A61" s="27" t="n">
        <v>57</v>
      </c>
      <c r="B61" s="28" t="n">
        <f aca="false">'Start Here'!$B$4+A61-1</f>
        <v>46366</v>
      </c>
      <c r="C61" s="17" t="s">
        <v>302</v>
      </c>
      <c r="D61" s="29" t="s">
        <v>303</v>
      </c>
      <c r="E61" s="17" t="s">
        <v>304</v>
      </c>
      <c r="F61" s="17" t="s">
        <v>305</v>
      </c>
      <c r="G61" s="17" t="s">
        <v>306</v>
      </c>
      <c r="H61" s="17" t="s">
        <v>307</v>
      </c>
      <c r="I61" s="22"/>
      <c r="J61" s="23"/>
      <c r="K61" s="24"/>
    </row>
    <row r="62" customFormat="false" ht="23.85" hidden="false" customHeight="false" outlineLevel="0" collapsed="false">
      <c r="A62" s="27" t="n">
        <v>58</v>
      </c>
      <c r="B62" s="28" t="n">
        <f aca="false">'Start Here'!$B$4+A62-1</f>
        <v>46367</v>
      </c>
      <c r="C62" s="17" t="s">
        <v>302</v>
      </c>
      <c r="D62" s="29" t="s">
        <v>308</v>
      </c>
      <c r="E62" s="17" t="s">
        <v>309</v>
      </c>
      <c r="F62" s="17" t="s">
        <v>309</v>
      </c>
      <c r="G62" s="17" t="s">
        <v>310</v>
      </c>
      <c r="H62" s="17" t="s">
        <v>311</v>
      </c>
      <c r="I62" s="22"/>
      <c r="J62" s="23"/>
      <c r="K62" s="24"/>
    </row>
    <row r="63" customFormat="false" ht="15" hidden="false" customHeight="false" outlineLevel="0" collapsed="false">
      <c r="A63" s="27" t="n">
        <v>59</v>
      </c>
      <c r="B63" s="28" t="n">
        <f aca="false">'Start Here'!$B$4+A63-1</f>
        <v>46368</v>
      </c>
      <c r="C63" s="17" t="s">
        <v>302</v>
      </c>
      <c r="D63" s="29" t="s">
        <v>287</v>
      </c>
      <c r="E63" s="17" t="s">
        <v>312</v>
      </c>
      <c r="F63" s="17" t="s">
        <v>309</v>
      </c>
      <c r="G63" s="17" t="s">
        <v>309</v>
      </c>
      <c r="H63" s="17" t="s">
        <v>313</v>
      </c>
      <c r="I63" s="22"/>
      <c r="J63" s="23"/>
      <c r="K63" s="24"/>
    </row>
    <row r="64" customFormat="false" ht="15" hidden="false" customHeight="false" outlineLevel="0" collapsed="false">
      <c r="A64" s="27" t="n">
        <v>60</v>
      </c>
      <c r="B64" s="28" t="n">
        <f aca="false">'Start Here'!$B$4+A64-1</f>
        <v>46369</v>
      </c>
      <c r="C64" s="17" t="s">
        <v>302</v>
      </c>
      <c r="D64" s="29" t="s">
        <v>314</v>
      </c>
      <c r="E64" s="17" t="s">
        <v>309</v>
      </c>
      <c r="F64" s="17" t="s">
        <v>309</v>
      </c>
      <c r="G64" s="17" t="s">
        <v>309</v>
      </c>
      <c r="H64" s="17" t="s">
        <v>315</v>
      </c>
      <c r="I64" s="22"/>
      <c r="J64" s="23"/>
      <c r="K64" s="24"/>
    </row>
  </sheetData>
  <conditionalFormatting sqref="J5:J64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1">
    <dataValidation allowBlank="true" errorStyle="stop" operator="between" showDropDown="false" showErrorMessage="false" showInputMessage="false" sqref="J5:J64" type="list">
      <formula1>"Yes,Partly,No"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4" customFormat="false" ht="15" hidden="false" customHeight="false" outlineLevel="0" collapsed="false">
      <c r="A4" s="10" t="s">
        <v>318</v>
      </c>
      <c r="B4" s="10" t="s">
        <v>319</v>
      </c>
    </row>
    <row r="5" customFormat="false" ht="94.5" hidden="false" customHeight="true" outlineLevel="0" collapsed="false">
      <c r="A5" s="3" t="s">
        <v>320</v>
      </c>
      <c r="B5" s="5" t="s">
        <v>321</v>
      </c>
    </row>
    <row r="6" customFormat="false" ht="94.5" hidden="false" customHeight="true" outlineLevel="0" collapsed="false">
      <c r="A6" s="3" t="s">
        <v>322</v>
      </c>
      <c r="B6" s="5" t="s">
        <v>323</v>
      </c>
    </row>
    <row r="7" customFormat="false" ht="94.5" hidden="false" customHeight="true" outlineLevel="0" collapsed="false">
      <c r="A7" s="3" t="s">
        <v>324</v>
      </c>
      <c r="B7" s="5" t="s">
        <v>325</v>
      </c>
    </row>
    <row r="8" customFormat="false" ht="94.5" hidden="false" customHeight="true" outlineLevel="0" collapsed="false">
      <c r="A8" s="3" t="s">
        <v>326</v>
      </c>
      <c r="B8" s="5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5" min="5" style="0" width="8"/>
  </cols>
  <sheetData>
    <row r="1" customFormat="false" ht="19.7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10" t="s">
        <v>330</v>
      </c>
      <c r="B4" s="10" t="s">
        <v>331</v>
      </c>
      <c r="C4" s="10" t="s">
        <v>332</v>
      </c>
      <c r="D4" s="10" t="s">
        <v>333</v>
      </c>
      <c r="E4" s="10" t="s">
        <v>334</v>
      </c>
    </row>
    <row r="5" customFormat="false" ht="23.85" hidden="false" customHeight="false" outlineLevel="0" collapsed="false">
      <c r="A5" s="30" t="s">
        <v>335</v>
      </c>
      <c r="B5" s="5" t="s">
        <v>336</v>
      </c>
      <c r="C5" s="5" t="s">
        <v>337</v>
      </c>
      <c r="D5" s="31" t="s">
        <v>338</v>
      </c>
      <c r="E5" s="11" t="s">
        <v>339</v>
      </c>
    </row>
    <row r="6" customFormat="false" ht="15" hidden="false" customHeight="false" outlineLevel="0" collapsed="false">
      <c r="A6" s="30" t="s">
        <v>340</v>
      </c>
      <c r="B6" s="5" t="s">
        <v>341</v>
      </c>
      <c r="C6" s="5" t="s">
        <v>342</v>
      </c>
      <c r="D6" s="31" t="s">
        <v>343</v>
      </c>
      <c r="E6" s="11" t="s">
        <v>339</v>
      </c>
    </row>
    <row r="7" customFormat="false" ht="15" hidden="false" customHeight="false" outlineLevel="0" collapsed="false">
      <c r="A7" s="30" t="s">
        <v>344</v>
      </c>
      <c r="B7" s="5" t="s">
        <v>345</v>
      </c>
      <c r="C7" s="5" t="s">
        <v>346</v>
      </c>
      <c r="D7" s="31" t="s">
        <v>347</v>
      </c>
      <c r="E7" s="11" t="s">
        <v>339</v>
      </c>
    </row>
    <row r="8" customFormat="false" ht="15" hidden="false" customHeight="false" outlineLevel="0" collapsed="false">
      <c r="A8" s="30" t="s">
        <v>348</v>
      </c>
      <c r="B8" s="5" t="s">
        <v>349</v>
      </c>
      <c r="C8" s="5" t="s">
        <v>346</v>
      </c>
      <c r="D8" s="31" t="s">
        <v>350</v>
      </c>
      <c r="E8" s="11" t="s">
        <v>339</v>
      </c>
    </row>
    <row r="9" customFormat="false" ht="15" hidden="false" customHeight="false" outlineLevel="0" collapsed="false">
      <c r="A9" s="30" t="s">
        <v>351</v>
      </c>
      <c r="B9" s="5" t="s">
        <v>352</v>
      </c>
      <c r="C9" s="5" t="s">
        <v>353</v>
      </c>
      <c r="D9" s="31" t="s">
        <v>354</v>
      </c>
      <c r="E9" s="11" t="s">
        <v>339</v>
      </c>
    </row>
    <row r="10" customFormat="false" ht="15" hidden="false" customHeight="false" outlineLevel="0" collapsed="false">
      <c r="A10" s="30" t="s">
        <v>355</v>
      </c>
      <c r="B10" s="5" t="s">
        <v>356</v>
      </c>
      <c r="C10" s="5" t="s">
        <v>357</v>
      </c>
      <c r="D10" s="31" t="s">
        <v>358</v>
      </c>
      <c r="E10" s="11" t="s">
        <v>339</v>
      </c>
    </row>
    <row r="11" customFormat="false" ht="15" hidden="false" customHeight="false" outlineLevel="0" collapsed="false">
      <c r="A11" s="30" t="s">
        <v>359</v>
      </c>
      <c r="B11" s="5" t="s">
        <v>360</v>
      </c>
      <c r="C11" s="5" t="s">
        <v>361</v>
      </c>
      <c r="D11" s="31" t="s">
        <v>362</v>
      </c>
      <c r="E11" s="11" t="s">
        <v>339</v>
      </c>
    </row>
    <row r="12" customFormat="false" ht="15" hidden="false" customHeight="false" outlineLevel="0" collapsed="false">
      <c r="A12" s="30" t="s">
        <v>363</v>
      </c>
      <c r="B12" s="5" t="s">
        <v>364</v>
      </c>
      <c r="C12" s="5" t="s">
        <v>365</v>
      </c>
      <c r="D12" s="31" t="s">
        <v>366</v>
      </c>
      <c r="E12" s="11" t="s">
        <v>339</v>
      </c>
    </row>
    <row r="13" customFormat="false" ht="23.85" hidden="false" customHeight="false" outlineLevel="0" collapsed="false">
      <c r="A13" s="30" t="s">
        <v>367</v>
      </c>
      <c r="B13" s="5" t="s">
        <v>368</v>
      </c>
      <c r="C13" s="5" t="s">
        <v>369</v>
      </c>
      <c r="D13" s="5" t="s">
        <v>370</v>
      </c>
      <c r="E13" s="11" t="s">
        <v>371</v>
      </c>
    </row>
    <row r="14" customFormat="false" ht="15" hidden="false" customHeight="false" outlineLevel="0" collapsed="false">
      <c r="A14" s="30" t="s">
        <v>372</v>
      </c>
      <c r="B14" s="5" t="s">
        <v>373</v>
      </c>
      <c r="C14" s="5" t="s">
        <v>374</v>
      </c>
      <c r="D14" s="31" t="s">
        <v>375</v>
      </c>
      <c r="E14" s="11" t="s">
        <v>339</v>
      </c>
    </row>
    <row r="15" customFormat="false" ht="15" hidden="false" customHeight="false" outlineLevel="0" collapsed="false">
      <c r="A15" s="30" t="s">
        <v>376</v>
      </c>
      <c r="B15" s="5" t="s">
        <v>377</v>
      </c>
      <c r="C15" s="5" t="s">
        <v>378</v>
      </c>
      <c r="D15" s="31" t="s">
        <v>379</v>
      </c>
      <c r="E15" s="11" t="s">
        <v>339</v>
      </c>
    </row>
    <row r="16" customFormat="false" ht="15" hidden="false" customHeight="false" outlineLevel="0" collapsed="false">
      <c r="A16" s="30" t="s">
        <v>380</v>
      </c>
      <c r="B16" s="5" t="s">
        <v>381</v>
      </c>
      <c r="C16" s="5" t="s">
        <v>382</v>
      </c>
      <c r="D16" s="31" t="s">
        <v>383</v>
      </c>
      <c r="E16" s="11" t="s">
        <v>339</v>
      </c>
    </row>
    <row r="17" customFormat="false" ht="15" hidden="false" customHeight="false" outlineLevel="0" collapsed="false">
      <c r="A17" s="30" t="s">
        <v>384</v>
      </c>
      <c r="B17" s="5" t="s">
        <v>385</v>
      </c>
      <c r="C17" s="5" t="s">
        <v>386</v>
      </c>
      <c r="D17" s="31" t="s">
        <v>387</v>
      </c>
      <c r="E17" s="11" t="s">
        <v>339</v>
      </c>
    </row>
    <row r="18" customFormat="false" ht="15" hidden="false" customHeight="false" outlineLevel="0" collapsed="false">
      <c r="A18" s="30" t="s">
        <v>388</v>
      </c>
      <c r="B18" s="5" t="s">
        <v>389</v>
      </c>
      <c r="C18" s="5" t="s">
        <v>390</v>
      </c>
      <c r="D18" s="31" t="s">
        <v>391</v>
      </c>
      <c r="E18" s="11" t="s">
        <v>339</v>
      </c>
    </row>
    <row r="19" customFormat="false" ht="15" hidden="false" customHeight="false" outlineLevel="0" collapsed="false">
      <c r="A19" s="30" t="s">
        <v>392</v>
      </c>
      <c r="B19" s="5" t="s">
        <v>393</v>
      </c>
      <c r="C19" s="5" t="s">
        <v>394</v>
      </c>
      <c r="D19" s="31" t="s">
        <v>395</v>
      </c>
      <c r="E19" s="11" t="s">
        <v>339</v>
      </c>
    </row>
    <row r="20" customFormat="false" ht="15" hidden="false" customHeight="false" outlineLevel="0" collapsed="false">
      <c r="A20" s="30" t="s">
        <v>396</v>
      </c>
      <c r="B20" s="5" t="s">
        <v>397</v>
      </c>
      <c r="C20" s="5" t="s">
        <v>398</v>
      </c>
      <c r="D20" s="31" t="s">
        <v>399</v>
      </c>
      <c r="E20" s="11" t="s">
        <v>339</v>
      </c>
    </row>
    <row r="21" customFormat="false" ht="15" hidden="false" customHeight="false" outlineLevel="0" collapsed="false">
      <c r="A21" s="30" t="s">
        <v>400</v>
      </c>
      <c r="B21" s="5" t="s">
        <v>401</v>
      </c>
      <c r="C21" s="5" t="s">
        <v>402</v>
      </c>
      <c r="D21" s="31" t="s">
        <v>403</v>
      </c>
      <c r="E21" s="11" t="s">
        <v>339</v>
      </c>
    </row>
    <row r="22" customFormat="false" ht="15" hidden="false" customHeight="false" outlineLevel="0" collapsed="false">
      <c r="A22" s="30" t="s">
        <v>404</v>
      </c>
      <c r="B22" s="5" t="s">
        <v>405</v>
      </c>
      <c r="C22" s="5" t="s">
        <v>406</v>
      </c>
      <c r="D22" s="31" t="s">
        <v>407</v>
      </c>
      <c r="E22" s="11" t="s">
        <v>339</v>
      </c>
    </row>
    <row r="23" customFormat="false" ht="15" hidden="false" customHeight="false" outlineLevel="0" collapsed="false">
      <c r="A23" s="30" t="s">
        <v>408</v>
      </c>
      <c r="B23" s="5" t="s">
        <v>409</v>
      </c>
      <c r="C23" s="5" t="s">
        <v>410</v>
      </c>
      <c r="D23" s="31" t="s">
        <v>411</v>
      </c>
      <c r="E23" s="11" t="s">
        <v>339</v>
      </c>
    </row>
    <row r="24" customFormat="false" ht="15" hidden="false" customHeight="false" outlineLevel="0" collapsed="false">
      <c r="A24" s="30" t="s">
        <v>412</v>
      </c>
      <c r="B24" s="5" t="s">
        <v>413</v>
      </c>
      <c r="C24" s="5" t="s">
        <v>414</v>
      </c>
      <c r="D24" s="31" t="s">
        <v>415</v>
      </c>
      <c r="E24" s="11" t="s">
        <v>339</v>
      </c>
    </row>
    <row r="25" customFormat="false" ht="15" hidden="false" customHeight="false" outlineLevel="0" collapsed="false">
      <c r="A25" s="30" t="s">
        <v>416</v>
      </c>
      <c r="B25" s="5" t="s">
        <v>417</v>
      </c>
      <c r="C25" s="5" t="s">
        <v>418</v>
      </c>
      <c r="D25" s="31" t="s">
        <v>419</v>
      </c>
      <c r="E25" s="11" t="s">
        <v>339</v>
      </c>
    </row>
    <row r="26" customFormat="false" ht="15" hidden="false" customHeight="false" outlineLevel="0" collapsed="false">
      <c r="A26" s="30" t="s">
        <v>420</v>
      </c>
      <c r="B26" s="5" t="s">
        <v>421</v>
      </c>
      <c r="C26" s="5" t="s">
        <v>422</v>
      </c>
      <c r="D26" s="31" t="s">
        <v>423</v>
      </c>
      <c r="E26" s="11" t="s">
        <v>371</v>
      </c>
    </row>
  </sheetData>
  <hyperlinks>
    <hyperlink ref="D5" r:id="rId1" display="https://takeielts.britishcouncil.org/take-ielts/prepare/free-ielts-english-practice-tests/ielts-on-computer/familiarisation-test"/>
    <hyperlink ref="D6" r:id="rId2" display="https://ieltsidpindia.com/information/computer-delivered-ielts-familiarisation-test"/>
    <hyperlink ref="D7" r:id="rId3" display="https://takeielts.britishcouncil.org/prepare/ielts-free-practice-mock-tests/academic/listening"/>
    <hyperlink ref="D8" r:id="rId4" display="https://takeielts.britishcouncil.org/prepare/ielts-free-practice-mock-tests/academic/reading"/>
    <hyperlink ref="D9" r:id="rId5" display="https://takeielts.britishcouncil.org/prepare/ielts-free-practice-mock-tests/academic/writing"/>
    <hyperlink ref="D10" r:id="rId6" display="https://takeielts.britishcouncil.org/prepare/ielts-free-practice-mock-tests/academic/speaking"/>
    <hyperlink ref="D11" r:id="rId7" display="https://ieltsidpindia.com/prepare/ielts-mock-tests"/>
    <hyperlink ref="D12" r:id="rId8" display="https://ieltsidpindia.com/ielts/app"/>
    <hyperlink ref="D14" r:id="rId9" display="https://ieltsliz.com/ielts-speaking-topics/"/>
    <hyperlink ref="D15" r:id="rId10" display="https://ieltsliz.com/ielts-speaking-part-1-topics/"/>
    <hyperlink ref="D16" r:id="rId11" display="https://ieltsliz.com/ielts-speaking-part-2-topics/"/>
    <hyperlink ref="D17" r:id="rId12" display="https://ieltsidpindia.com/blog/ielts-writing-task-1-sample-answer"/>
    <hyperlink ref="D18" r:id="rId13" display="https://ieltsidpindia.com/blog/ielts-writing-task-2-sample-questions-answers"/>
    <hyperlink ref="D19" r:id="rId14" display="https://ieltsidpindia.com/prepare/vocabulary-words-for-ielts"/>
    <hyperlink ref="D20" r:id="rId15" display="https://ieltsidpindia.com/prepare/grammar"/>
    <hyperlink ref="D21" r:id="rId16" display="https://ielts.org/cdn/ielts-downloadable-assets/ielts-guidance-and-support/ielts-guides/ielts-writing-band-descriptors.pdf"/>
    <hyperlink ref="D22" r:id="rId17" display="https://ielts.org/cdn/ielts-downloadable-assets/ielts-guidance-and-support/ielts-guides/ielts-speaking-band-descriptors.pdf"/>
    <hyperlink ref="D23" r:id="rId18" display="https://writeandimprove.com/free"/>
    <hyperlink ref="D24" r:id="rId19" display="https://www.bbc.co.uk/learningenglish"/>
    <hyperlink ref="D25" r:id="rId20" display="https://monkeytype.com"/>
    <hyperlink ref="D26" r:id="rId21" display="https://ielts.org/take-a-test/booking-your-test/one-skill-retak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424</v>
      </c>
    </row>
    <row r="2" customFormat="false" ht="15" hidden="false" customHeight="false" outlineLevel="0" collapsed="false">
      <c r="A2" s="2" t="s">
        <v>425</v>
      </c>
    </row>
    <row r="4" customFormat="false" ht="15" hidden="false" customHeight="false" outlineLevel="0" collapsed="false">
      <c r="A4" s="10" t="s">
        <v>426</v>
      </c>
      <c r="B4" s="10" t="s">
        <v>427</v>
      </c>
      <c r="C4" s="10"/>
      <c r="D4" s="10" t="s">
        <v>426</v>
      </c>
      <c r="E4" s="10" t="s">
        <v>428</v>
      </c>
    </row>
    <row r="5" customFormat="false" ht="15" hidden="false" customHeight="false" outlineLevel="0" collapsed="false">
      <c r="A5" s="11" t="n">
        <v>0</v>
      </c>
      <c r="B5" s="11" t="n">
        <v>0</v>
      </c>
      <c r="D5" s="11" t="n">
        <v>0</v>
      </c>
      <c r="E5" s="11" t="n">
        <v>0</v>
      </c>
    </row>
    <row r="6" customFormat="false" ht="15" hidden="false" customHeight="false" outlineLevel="0" collapsed="false">
      <c r="A6" s="11" t="n">
        <v>4</v>
      </c>
      <c r="B6" s="11" t="n">
        <v>2.5</v>
      </c>
      <c r="D6" s="11" t="n">
        <v>4</v>
      </c>
      <c r="E6" s="11" t="n">
        <v>2.5</v>
      </c>
    </row>
    <row r="7" customFormat="false" ht="15" hidden="false" customHeight="false" outlineLevel="0" collapsed="false">
      <c r="A7" s="11" t="n">
        <v>6</v>
      </c>
      <c r="B7" s="11" t="n">
        <v>3</v>
      </c>
      <c r="D7" s="11" t="n">
        <v>6</v>
      </c>
      <c r="E7" s="11" t="n">
        <v>3</v>
      </c>
    </row>
    <row r="8" customFormat="false" ht="15" hidden="false" customHeight="false" outlineLevel="0" collapsed="false">
      <c r="A8" s="11" t="n">
        <v>8</v>
      </c>
      <c r="B8" s="11" t="n">
        <v>3.5</v>
      </c>
      <c r="D8" s="11" t="n">
        <v>8</v>
      </c>
      <c r="E8" s="11" t="n">
        <v>3.5</v>
      </c>
    </row>
    <row r="9" customFormat="false" ht="15" hidden="false" customHeight="false" outlineLevel="0" collapsed="false">
      <c r="A9" s="11" t="n">
        <v>10</v>
      </c>
      <c r="B9" s="11" t="n">
        <v>4</v>
      </c>
      <c r="D9" s="11" t="n">
        <v>10</v>
      </c>
      <c r="E9" s="11" t="n">
        <v>4</v>
      </c>
    </row>
    <row r="10" customFormat="false" ht="15" hidden="false" customHeight="false" outlineLevel="0" collapsed="false">
      <c r="A10" s="11" t="n">
        <v>13</v>
      </c>
      <c r="B10" s="11" t="n">
        <v>4.5</v>
      </c>
      <c r="D10" s="11" t="n">
        <v>13</v>
      </c>
      <c r="E10" s="11" t="n">
        <v>4.5</v>
      </c>
    </row>
    <row r="11" customFormat="false" ht="15" hidden="false" customHeight="false" outlineLevel="0" collapsed="false">
      <c r="A11" s="11" t="n">
        <v>16</v>
      </c>
      <c r="B11" s="11" t="n">
        <v>5</v>
      </c>
      <c r="D11" s="11" t="n">
        <v>15</v>
      </c>
      <c r="E11" s="11" t="n">
        <v>5</v>
      </c>
    </row>
    <row r="12" customFormat="false" ht="15" hidden="false" customHeight="false" outlineLevel="0" collapsed="false">
      <c r="A12" s="11" t="n">
        <v>18</v>
      </c>
      <c r="B12" s="11" t="n">
        <v>5.5</v>
      </c>
      <c r="D12" s="11" t="n">
        <v>19</v>
      </c>
      <c r="E12" s="11" t="n">
        <v>5.5</v>
      </c>
    </row>
    <row r="13" customFormat="false" ht="15" hidden="false" customHeight="false" outlineLevel="0" collapsed="false">
      <c r="A13" s="11" t="n">
        <v>23</v>
      </c>
      <c r="B13" s="11" t="n">
        <v>6</v>
      </c>
      <c r="D13" s="11" t="n">
        <v>23</v>
      </c>
      <c r="E13" s="11" t="n">
        <v>6</v>
      </c>
    </row>
    <row r="14" customFormat="false" ht="15" hidden="false" customHeight="false" outlineLevel="0" collapsed="false">
      <c r="A14" s="11" t="n">
        <v>26</v>
      </c>
      <c r="B14" s="11" t="n">
        <v>6.5</v>
      </c>
      <c r="D14" s="11" t="n">
        <v>27</v>
      </c>
      <c r="E14" s="11" t="n">
        <v>6.5</v>
      </c>
    </row>
    <row r="15" customFormat="false" ht="15" hidden="false" customHeight="false" outlineLevel="0" collapsed="false">
      <c r="A15" s="19" t="n">
        <v>30</v>
      </c>
      <c r="B15" s="19" t="n">
        <v>7</v>
      </c>
      <c r="D15" s="19" t="n">
        <v>30</v>
      </c>
      <c r="E15" s="19" t="n">
        <v>7</v>
      </c>
    </row>
    <row r="16" customFormat="false" ht="15" hidden="false" customHeight="false" outlineLevel="0" collapsed="false">
      <c r="A16" s="11" t="n">
        <v>32</v>
      </c>
      <c r="B16" s="11" t="n">
        <v>7.5</v>
      </c>
      <c r="D16" s="11" t="n">
        <v>33</v>
      </c>
      <c r="E16" s="11" t="n">
        <v>7.5</v>
      </c>
    </row>
    <row r="17" customFormat="false" ht="15" hidden="false" customHeight="false" outlineLevel="0" collapsed="false">
      <c r="A17" s="11" t="n">
        <v>35</v>
      </c>
      <c r="B17" s="11" t="n">
        <v>8</v>
      </c>
      <c r="D17" s="11" t="n">
        <v>35</v>
      </c>
      <c r="E17" s="11" t="n">
        <v>8</v>
      </c>
    </row>
    <row r="18" customFormat="false" ht="15" hidden="false" customHeight="false" outlineLevel="0" collapsed="false">
      <c r="A18" s="11" t="n">
        <v>37</v>
      </c>
      <c r="B18" s="11" t="n">
        <v>8.5</v>
      </c>
      <c r="D18" s="11" t="n">
        <v>37</v>
      </c>
      <c r="E18" s="11" t="n">
        <v>8.5</v>
      </c>
    </row>
    <row r="19" customFormat="false" ht="15" hidden="false" customHeight="false" outlineLevel="0" collapsed="false">
      <c r="A19" s="11" t="n">
        <v>39</v>
      </c>
      <c r="B19" s="11" t="n">
        <v>9</v>
      </c>
      <c r="D19" s="11" t="n">
        <v>39</v>
      </c>
      <c r="E19" s="11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13" min="3" style="0" width="10"/>
    <col collapsed="false" customWidth="true" hidden="false" outlineLevel="0" max="15" min="14" style="0" width="9"/>
    <col collapsed="false" customWidth="true" hidden="false" outlineLevel="0" max="16" min="16" style="0" width="12"/>
  </cols>
  <sheetData>
    <row r="1" customFormat="false" ht="19.7" hidden="false" customHeight="false" outlineLevel="0" collapsed="false">
      <c r="A1" s="1" t="s">
        <v>429</v>
      </c>
    </row>
    <row r="2" customFormat="false" ht="15" hidden="false" customHeight="false" outlineLevel="0" collapsed="false">
      <c r="A2" s="2" t="s">
        <v>430</v>
      </c>
    </row>
    <row r="4" customFormat="false" ht="23.85" hidden="false" customHeight="false" outlineLevel="0" collapsed="false">
      <c r="A4" s="10" t="s">
        <v>431</v>
      </c>
      <c r="B4" s="10" t="s">
        <v>432</v>
      </c>
      <c r="C4" s="10" t="s">
        <v>47</v>
      </c>
      <c r="D4" s="10" t="s">
        <v>433</v>
      </c>
      <c r="E4" s="10" t="s">
        <v>427</v>
      </c>
      <c r="F4" s="10" t="s">
        <v>434</v>
      </c>
      <c r="G4" s="10" t="s">
        <v>435</v>
      </c>
      <c r="H4" s="10" t="s">
        <v>436</v>
      </c>
      <c r="I4" s="10" t="s">
        <v>437</v>
      </c>
      <c r="J4" s="10" t="s">
        <v>438</v>
      </c>
      <c r="K4" s="10" t="s">
        <v>439</v>
      </c>
      <c r="L4" s="10" t="s">
        <v>440</v>
      </c>
      <c r="M4" s="10" t="s">
        <v>441</v>
      </c>
      <c r="N4" s="10" t="s">
        <v>442</v>
      </c>
      <c r="O4" s="10" t="s">
        <v>443</v>
      </c>
      <c r="P4" s="10" t="s">
        <v>212</v>
      </c>
    </row>
    <row r="5" customFormat="false" ht="15" hidden="false" customHeight="false" outlineLevel="0" collapsed="false">
      <c r="A5" s="11" t="n">
        <v>1</v>
      </c>
      <c r="B5" s="11" t="n">
        <v>1</v>
      </c>
      <c r="C5" s="32" t="n">
        <f aca="false">'Start Here'!$B$4+B5-1</f>
        <v>46310</v>
      </c>
      <c r="D5" s="23" t="n">
        <v>27</v>
      </c>
      <c r="E5" s="33" t="n">
        <f aca="false">IF(D5="","",INDEX('Band Conversion'!$B$5:$B$19,MATCH(D5,'Band Conversion'!$A$5:$A$19,1)))</f>
        <v>6.5</v>
      </c>
      <c r="F5" s="23" t="n">
        <v>25</v>
      </c>
      <c r="G5" s="33" t="n">
        <f aca="false">IF(F5="","",INDEX('Band Conversion'!$E$5:$E$19,MATCH(F5,'Band Conversion'!$D$5:$D$19,1)))</f>
        <v>6</v>
      </c>
      <c r="H5" s="22" t="n">
        <v>6.5</v>
      </c>
      <c r="I5" s="22" t="n">
        <v>6</v>
      </c>
      <c r="J5" s="33" t="n">
        <f aca="false">IF(COUNT(H5:I5)=0,"",MIN(H5:I5))</f>
        <v>6</v>
      </c>
      <c r="K5" s="22" t="n">
        <v>6.5</v>
      </c>
      <c r="L5" s="22" t="n">
        <v>6</v>
      </c>
      <c r="M5" s="33" t="n">
        <f aca="false">IF(COUNT(K5:L5)=0,"",MIN(K5:L5))</f>
        <v>6</v>
      </c>
      <c r="N5" s="33" t="n">
        <f aca="false">IF(COUNT(E5,G5,J5,M5)&lt;4,"",ROUND(AVERAGE(E5,G5,J5,M5)*2,0)/2)</f>
        <v>6</v>
      </c>
      <c r="O5" s="34" t="n">
        <f aca="false">IF(N5="","",N5-'Start Here'!$B$7)</f>
        <v>-1</v>
      </c>
      <c r="P5" s="11" t="str">
        <f aca="false">IF(N5="","",IF(MIN(E5,G5,J5,M5)=E5,"Listening",IF(MIN(E5,G5,J5,M5)=G5,"Reading",IF(MIN(E5,G5,J5,M5)=J5,"Writing","Speaking"))))</f>
        <v>Reading</v>
      </c>
    </row>
    <row r="6" customFormat="false" ht="15" hidden="false" customHeight="false" outlineLevel="0" collapsed="false">
      <c r="A6" s="11" t="n">
        <v>2</v>
      </c>
      <c r="B6" s="11" t="n">
        <v>14</v>
      </c>
      <c r="C6" s="32" t="n">
        <f aca="false">'Start Here'!$B$4+B6-1</f>
        <v>46323</v>
      </c>
      <c r="D6" s="23"/>
      <c r="E6" s="33" t="str">
        <f aca="false">IF(D6="","",INDEX('Band Conversion'!$B$5:$B$19,MATCH(D6,'Band Conversion'!$A$5:$A$19,1)))</f>
        <v/>
      </c>
      <c r="F6" s="23"/>
      <c r="G6" s="33" t="str">
        <f aca="false">IF(F6="","",INDEX('Band Conversion'!$E$5:$E$19,MATCH(F6,'Band Conversion'!$D$5:$D$19,1)))</f>
        <v/>
      </c>
      <c r="H6" s="22"/>
      <c r="I6" s="22"/>
      <c r="J6" s="33" t="str">
        <f aca="false">IF(COUNT(H6:I6)=0,"",MIN(H6:I6))</f>
        <v/>
      </c>
      <c r="K6" s="22"/>
      <c r="L6" s="22"/>
      <c r="M6" s="33" t="str">
        <f aca="false">IF(COUNT(K6:L6)=0,"",MIN(K6:L6))</f>
        <v/>
      </c>
      <c r="N6" s="33" t="str">
        <f aca="false">IF(COUNT(E6,G6,J6,M6)&lt;4,"",ROUND(AVERAGE(E6,G6,J6,M6)*2,0)/2)</f>
        <v/>
      </c>
      <c r="O6" s="34" t="str">
        <f aca="false">IF(N6="","",N6-'Start Here'!$B$7)</f>
        <v/>
      </c>
      <c r="P6" s="11" t="str">
        <f aca="false">IF(N6="","",IF(MIN(E6,G6,J6,M6)=E6,"Listening",IF(MIN(E6,G6,J6,M6)=G6,"Reading",IF(MIN(E6,G6,J6,M6)=J6,"Writing","Speaking"))))</f>
        <v/>
      </c>
    </row>
    <row r="7" customFormat="false" ht="15" hidden="false" customHeight="false" outlineLevel="0" collapsed="false">
      <c r="A7" s="11" t="n">
        <v>3</v>
      </c>
      <c r="B7" s="11" t="n">
        <v>21</v>
      </c>
      <c r="C7" s="32" t="n">
        <f aca="false">'Start Here'!$B$4+B7-1</f>
        <v>46330</v>
      </c>
      <c r="D7" s="23"/>
      <c r="E7" s="33" t="str">
        <f aca="false">IF(D7="","",INDEX('Band Conversion'!$B$5:$B$19,MATCH(D7,'Band Conversion'!$A$5:$A$19,1)))</f>
        <v/>
      </c>
      <c r="F7" s="23"/>
      <c r="G7" s="33" t="str">
        <f aca="false">IF(F7="","",INDEX('Band Conversion'!$E$5:$E$19,MATCH(F7,'Band Conversion'!$D$5:$D$19,1)))</f>
        <v/>
      </c>
      <c r="H7" s="22"/>
      <c r="I7" s="22"/>
      <c r="J7" s="33" t="str">
        <f aca="false">IF(COUNT(H7:I7)=0,"",MIN(H7:I7))</f>
        <v/>
      </c>
      <c r="K7" s="22"/>
      <c r="L7" s="22"/>
      <c r="M7" s="33" t="str">
        <f aca="false">IF(COUNT(K7:L7)=0,"",MIN(K7:L7))</f>
        <v/>
      </c>
      <c r="N7" s="33" t="str">
        <f aca="false">IF(COUNT(E7,G7,J7,M7)&lt;4,"",ROUND(AVERAGE(E7,G7,J7,M7)*2,0)/2)</f>
        <v/>
      </c>
      <c r="O7" s="34" t="str">
        <f aca="false">IF(N7="","",N7-'Start Here'!$B$7)</f>
        <v/>
      </c>
      <c r="P7" s="11" t="str">
        <f aca="false">IF(N7="","",IF(MIN(E7,G7,J7,M7)=E7,"Listening",IF(MIN(E7,G7,J7,M7)=G7,"Reading",IF(MIN(E7,G7,J7,M7)=J7,"Writing","Speaking"))))</f>
        <v/>
      </c>
    </row>
    <row r="8" customFormat="false" ht="15" hidden="false" customHeight="false" outlineLevel="0" collapsed="false">
      <c r="A8" s="11" t="n">
        <v>4</v>
      </c>
      <c r="B8" s="11" t="n">
        <v>28</v>
      </c>
      <c r="C8" s="32" t="n">
        <f aca="false">'Start Here'!$B$4+B8-1</f>
        <v>46337</v>
      </c>
      <c r="D8" s="23"/>
      <c r="E8" s="33" t="str">
        <f aca="false">IF(D8="","",INDEX('Band Conversion'!$B$5:$B$19,MATCH(D8,'Band Conversion'!$A$5:$A$19,1)))</f>
        <v/>
      </c>
      <c r="F8" s="23"/>
      <c r="G8" s="33" t="str">
        <f aca="false">IF(F8="","",INDEX('Band Conversion'!$E$5:$E$19,MATCH(F8,'Band Conversion'!$D$5:$D$19,1)))</f>
        <v/>
      </c>
      <c r="H8" s="22"/>
      <c r="I8" s="22"/>
      <c r="J8" s="33" t="str">
        <f aca="false">IF(COUNT(H8:I8)=0,"",MIN(H8:I8))</f>
        <v/>
      </c>
      <c r="K8" s="22"/>
      <c r="L8" s="22"/>
      <c r="M8" s="33" t="str">
        <f aca="false">IF(COUNT(K8:L8)=0,"",MIN(K8:L8))</f>
        <v/>
      </c>
      <c r="N8" s="33" t="str">
        <f aca="false">IF(COUNT(E8,G8,J8,M8)&lt;4,"",ROUND(AVERAGE(E8,G8,J8,M8)*2,0)/2)</f>
        <v/>
      </c>
      <c r="O8" s="34" t="str">
        <f aca="false">IF(N8="","",N8-'Start Here'!$B$7)</f>
        <v/>
      </c>
      <c r="P8" s="11" t="str">
        <f aca="false">IF(N8="","",IF(MIN(E8,G8,J8,M8)=E8,"Listening",IF(MIN(E8,G8,J8,M8)=G8,"Reading",IF(MIN(E8,G8,J8,M8)=J8,"Writing","Speaking"))))</f>
        <v/>
      </c>
    </row>
    <row r="9" customFormat="false" ht="15" hidden="false" customHeight="false" outlineLevel="0" collapsed="false">
      <c r="A9" s="11" t="n">
        <v>5</v>
      </c>
      <c r="B9" s="11" t="n">
        <v>35</v>
      </c>
      <c r="C9" s="32" t="n">
        <f aca="false">'Start Here'!$B$4+B9-1</f>
        <v>46344</v>
      </c>
      <c r="D9" s="23"/>
      <c r="E9" s="33" t="str">
        <f aca="false">IF(D9="","",INDEX('Band Conversion'!$B$5:$B$19,MATCH(D9,'Band Conversion'!$A$5:$A$19,1)))</f>
        <v/>
      </c>
      <c r="F9" s="23"/>
      <c r="G9" s="33" t="str">
        <f aca="false">IF(F9="","",INDEX('Band Conversion'!$E$5:$E$19,MATCH(F9,'Band Conversion'!$D$5:$D$19,1)))</f>
        <v/>
      </c>
      <c r="H9" s="22"/>
      <c r="I9" s="22"/>
      <c r="J9" s="33" t="str">
        <f aca="false">IF(COUNT(H9:I9)=0,"",MIN(H9:I9))</f>
        <v/>
      </c>
      <c r="K9" s="22"/>
      <c r="L9" s="22"/>
      <c r="M9" s="33" t="str">
        <f aca="false">IF(COUNT(K9:L9)=0,"",MIN(K9:L9))</f>
        <v/>
      </c>
      <c r="N9" s="33" t="str">
        <f aca="false">IF(COUNT(E9,G9,J9,M9)&lt;4,"",ROUND(AVERAGE(E9,G9,J9,M9)*2,0)/2)</f>
        <v/>
      </c>
      <c r="O9" s="34" t="str">
        <f aca="false">IF(N9="","",N9-'Start Here'!$B$7)</f>
        <v/>
      </c>
      <c r="P9" s="11" t="str">
        <f aca="false">IF(N9="","",IF(MIN(E9,G9,J9,M9)=E9,"Listening",IF(MIN(E9,G9,J9,M9)=G9,"Reading",IF(MIN(E9,G9,J9,M9)=J9,"Writing","Speaking"))))</f>
        <v/>
      </c>
    </row>
    <row r="10" customFormat="false" ht="15" hidden="false" customHeight="false" outlineLevel="0" collapsed="false">
      <c r="A10" s="11" t="n">
        <v>6</v>
      </c>
      <c r="B10" s="11" t="n">
        <v>42</v>
      </c>
      <c r="C10" s="32" t="n">
        <f aca="false">'Start Here'!$B$4+B10-1</f>
        <v>46351</v>
      </c>
      <c r="D10" s="23"/>
      <c r="E10" s="33" t="str">
        <f aca="false">IF(D10="","",INDEX('Band Conversion'!$B$5:$B$19,MATCH(D10,'Band Conversion'!$A$5:$A$19,1)))</f>
        <v/>
      </c>
      <c r="F10" s="23"/>
      <c r="G10" s="33" t="str">
        <f aca="false">IF(F10="","",INDEX('Band Conversion'!$E$5:$E$19,MATCH(F10,'Band Conversion'!$D$5:$D$19,1)))</f>
        <v/>
      </c>
      <c r="H10" s="22"/>
      <c r="I10" s="22"/>
      <c r="J10" s="33" t="str">
        <f aca="false">IF(COUNT(H10:I10)=0,"",MIN(H10:I10))</f>
        <v/>
      </c>
      <c r="K10" s="22"/>
      <c r="L10" s="22"/>
      <c r="M10" s="33" t="str">
        <f aca="false">IF(COUNT(K10:L10)=0,"",MIN(K10:L10))</f>
        <v/>
      </c>
      <c r="N10" s="33" t="str">
        <f aca="false">IF(COUNT(E10,G10,J10,M10)&lt;4,"",ROUND(AVERAGE(E10,G10,J10,M10)*2,0)/2)</f>
        <v/>
      </c>
      <c r="O10" s="34" t="str">
        <f aca="false">IF(N10="","",N10-'Start Here'!$B$7)</f>
        <v/>
      </c>
      <c r="P10" s="11" t="str">
        <f aca="false">IF(N10="","",IF(MIN(E10,G10,J10,M10)=E10,"Listening",IF(MIN(E10,G10,J10,M10)=G10,"Reading",IF(MIN(E10,G10,J10,M10)=J10,"Writing","Speaking"))))</f>
        <v/>
      </c>
    </row>
    <row r="11" customFormat="false" ht="15" hidden="false" customHeight="false" outlineLevel="0" collapsed="false">
      <c r="A11" s="11" t="n">
        <v>7</v>
      </c>
      <c r="B11" s="11" t="n">
        <v>49</v>
      </c>
      <c r="C11" s="32" t="n">
        <f aca="false">'Start Here'!$B$4+B11-1</f>
        <v>46358</v>
      </c>
      <c r="D11" s="23"/>
      <c r="E11" s="33" t="str">
        <f aca="false">IF(D11="","",INDEX('Band Conversion'!$B$5:$B$19,MATCH(D11,'Band Conversion'!$A$5:$A$19,1)))</f>
        <v/>
      </c>
      <c r="F11" s="23"/>
      <c r="G11" s="33" t="str">
        <f aca="false">IF(F11="","",INDEX('Band Conversion'!$E$5:$E$19,MATCH(F11,'Band Conversion'!$D$5:$D$19,1)))</f>
        <v/>
      </c>
      <c r="H11" s="22"/>
      <c r="I11" s="22"/>
      <c r="J11" s="33" t="str">
        <f aca="false">IF(COUNT(H11:I11)=0,"",MIN(H11:I11))</f>
        <v/>
      </c>
      <c r="K11" s="22"/>
      <c r="L11" s="22"/>
      <c r="M11" s="33" t="str">
        <f aca="false">IF(COUNT(K11:L11)=0,"",MIN(K11:L11))</f>
        <v/>
      </c>
      <c r="N11" s="33" t="str">
        <f aca="false">IF(COUNT(E11,G11,J11,M11)&lt;4,"",ROUND(AVERAGE(E11,G11,J11,M11)*2,0)/2)</f>
        <v/>
      </c>
      <c r="O11" s="34" t="str">
        <f aca="false">IF(N11="","",N11-'Start Here'!$B$7)</f>
        <v/>
      </c>
      <c r="P11" s="11" t="str">
        <f aca="false">IF(N11="","",IF(MIN(E11,G11,J11,M11)=E11,"Listening",IF(MIN(E11,G11,J11,M11)=G11,"Reading",IF(MIN(E11,G11,J11,M11)=J11,"Writing","Speaking"))))</f>
        <v/>
      </c>
    </row>
    <row r="12" customFormat="false" ht="15" hidden="false" customHeight="false" outlineLevel="0" collapsed="false">
      <c r="A12" s="11" t="n">
        <v>8</v>
      </c>
      <c r="B12" s="11" t="n">
        <v>54</v>
      </c>
      <c r="C12" s="32" t="n">
        <f aca="false">'Start Here'!$B$4+B12-1</f>
        <v>46363</v>
      </c>
      <c r="D12" s="23"/>
      <c r="E12" s="33" t="str">
        <f aca="false">IF(D12="","",INDEX('Band Conversion'!$B$5:$B$19,MATCH(D12,'Band Conversion'!$A$5:$A$19,1)))</f>
        <v/>
      </c>
      <c r="F12" s="23"/>
      <c r="G12" s="33" t="str">
        <f aca="false">IF(F12="","",INDEX('Band Conversion'!$E$5:$E$19,MATCH(F12,'Band Conversion'!$D$5:$D$19,1)))</f>
        <v/>
      </c>
      <c r="H12" s="22"/>
      <c r="I12" s="22"/>
      <c r="J12" s="33" t="str">
        <f aca="false">IF(COUNT(H12:I12)=0,"",MIN(H12:I12))</f>
        <v/>
      </c>
      <c r="K12" s="22"/>
      <c r="L12" s="22"/>
      <c r="M12" s="33" t="str">
        <f aca="false">IF(COUNT(K12:L12)=0,"",MIN(K12:L12))</f>
        <v/>
      </c>
      <c r="N12" s="33" t="str">
        <f aca="false">IF(COUNT(E12,G12,J12,M12)&lt;4,"",ROUND(AVERAGE(E12,G12,J12,M12)*2,0)/2)</f>
        <v/>
      </c>
      <c r="O12" s="34" t="str">
        <f aca="false">IF(N12="","",N12-'Start Here'!$B$7)</f>
        <v/>
      </c>
      <c r="P12" s="11" t="str">
        <f aca="false">IF(N12="","",IF(MIN(E12,G12,J12,M12)=E12,"Listening",IF(MIN(E12,G12,J12,M12)=G12,"Reading",IF(MIN(E12,G12,J12,M12)=J12,"Writing","Speaking"))))</f>
        <v/>
      </c>
    </row>
    <row r="14" customFormat="false" ht="15" hidden="false" customHeight="false" outlineLevel="0" collapsed="false">
      <c r="A14" s="35" t="s">
        <v>444</v>
      </c>
    </row>
    <row r="15" customFormat="false" ht="15" hidden="false" customHeight="false" outlineLevel="0" collapsed="false">
      <c r="A15" s="18" t="s">
        <v>445</v>
      </c>
    </row>
  </sheetData>
  <conditionalFormatting sqref="N5:N12">
    <cfRule type="cellIs" priority="2" operator="greaterThanOrEqual" aboveAverage="0" equalAverage="0" bottom="0" percent="0" rank="0" text="" dxfId="0">
      <formula>'Start Here'!$B$7</formula>
    </cfRule>
    <cfRule type="cellIs" priority="3" operator="lessThan" aboveAverage="0" equalAverage="0" bottom="0" percent="0" rank="0" text="" dxfId="1">
      <formula>'Start Here'!$B$7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24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1" t="s">
        <v>446</v>
      </c>
    </row>
    <row r="2" customFormat="false" ht="15" hidden="false" customHeight="false" outlineLevel="0" collapsed="false">
      <c r="A2" s="2" t="s">
        <v>447</v>
      </c>
    </row>
    <row r="4" customFormat="false" ht="23.85" hidden="false" customHeight="false" outlineLevel="0" collapsed="false">
      <c r="A4" s="10" t="s">
        <v>46</v>
      </c>
      <c r="B4" s="10" t="s">
        <v>47</v>
      </c>
      <c r="C4" s="10" t="s">
        <v>448</v>
      </c>
      <c r="D4" s="10" t="s">
        <v>449</v>
      </c>
      <c r="E4" s="10" t="s">
        <v>450</v>
      </c>
      <c r="F4" s="10" t="s">
        <v>451</v>
      </c>
      <c r="G4" s="10" t="s">
        <v>118</v>
      </c>
      <c r="H4" s="10" t="s">
        <v>452</v>
      </c>
      <c r="I4" s="10" t="s">
        <v>179</v>
      </c>
      <c r="J4" s="10" t="s">
        <v>453</v>
      </c>
      <c r="K4" s="10" t="s">
        <v>454</v>
      </c>
      <c r="L4" s="10" t="s">
        <v>455</v>
      </c>
      <c r="M4" s="10" t="s">
        <v>456</v>
      </c>
    </row>
    <row r="5" customFormat="false" ht="23.85" hidden="false" customHeight="false" outlineLevel="0" collapsed="false">
      <c r="A5" s="11" t="n">
        <v>1</v>
      </c>
      <c r="B5" s="32" t="n">
        <f aca="false">'Start Here'!$B$4+A5-1</f>
        <v>46310</v>
      </c>
      <c r="C5" s="23" t="s">
        <v>457</v>
      </c>
      <c r="D5" s="23" t="s">
        <v>458</v>
      </c>
      <c r="E5" s="24" t="s">
        <v>459</v>
      </c>
      <c r="F5" s="23" t="n">
        <v>6</v>
      </c>
      <c r="G5" s="23" t="n">
        <v>6</v>
      </c>
      <c r="H5" s="23" t="n">
        <v>6</v>
      </c>
      <c r="I5" s="23" t="n">
        <v>6.5</v>
      </c>
      <c r="J5" s="33" t="n">
        <f aca="false">IF(COUNT(F5:I5)&lt;4,"",ROUND(AVERAGE(F5:I5)*2,0)/2)</f>
        <v>6</v>
      </c>
      <c r="K5" s="23" t="n">
        <v>14</v>
      </c>
      <c r="L5" s="24" t="s">
        <v>460</v>
      </c>
      <c r="M5" s="24" t="s">
        <v>461</v>
      </c>
    </row>
    <row r="6" customFormat="false" ht="15" hidden="false" customHeight="false" outlineLevel="0" collapsed="false">
      <c r="A6" s="11" t="n">
        <v>2</v>
      </c>
      <c r="B6" s="32" t="n">
        <f aca="false">'Start Here'!$B$4+A6-1</f>
        <v>46311</v>
      </c>
      <c r="C6" s="23"/>
      <c r="D6" s="23"/>
      <c r="E6" s="24"/>
      <c r="F6" s="23"/>
      <c r="G6" s="23"/>
      <c r="H6" s="23"/>
      <c r="I6" s="23"/>
      <c r="J6" s="33" t="str">
        <f aca="false">IF(COUNT(F6:I6)&lt;4,"",ROUND(AVERAGE(F6:I6)*2,0)/2)</f>
        <v/>
      </c>
      <c r="K6" s="23"/>
      <c r="L6" s="24"/>
      <c r="M6" s="24"/>
    </row>
    <row r="7" customFormat="false" ht="15" hidden="false" customHeight="false" outlineLevel="0" collapsed="false">
      <c r="A7" s="11" t="n">
        <v>3</v>
      </c>
      <c r="B7" s="32" t="n">
        <f aca="false">'Start Here'!$B$4+A7-1</f>
        <v>46312</v>
      </c>
      <c r="C7" s="23"/>
      <c r="D7" s="23"/>
      <c r="E7" s="24"/>
      <c r="F7" s="23"/>
      <c r="G7" s="23"/>
      <c r="H7" s="23"/>
      <c r="I7" s="23"/>
      <c r="J7" s="33" t="str">
        <f aca="false">IF(COUNT(F7:I7)&lt;4,"",ROUND(AVERAGE(F7:I7)*2,0)/2)</f>
        <v/>
      </c>
      <c r="K7" s="23"/>
      <c r="L7" s="24"/>
      <c r="M7" s="24"/>
    </row>
    <row r="8" customFormat="false" ht="15" hidden="false" customHeight="false" outlineLevel="0" collapsed="false">
      <c r="A8" s="11" t="n">
        <v>4</v>
      </c>
      <c r="B8" s="32" t="n">
        <f aca="false">'Start Here'!$B$4+A8-1</f>
        <v>46313</v>
      </c>
      <c r="C8" s="23"/>
      <c r="D8" s="23"/>
      <c r="E8" s="24"/>
      <c r="F8" s="23"/>
      <c r="G8" s="23"/>
      <c r="H8" s="23"/>
      <c r="I8" s="23"/>
      <c r="J8" s="33" t="str">
        <f aca="false">IF(COUNT(F8:I8)&lt;4,"",ROUND(AVERAGE(F8:I8)*2,0)/2)</f>
        <v/>
      </c>
      <c r="K8" s="23"/>
      <c r="L8" s="24"/>
      <c r="M8" s="24"/>
    </row>
    <row r="9" customFormat="false" ht="15" hidden="false" customHeight="false" outlineLevel="0" collapsed="false">
      <c r="A9" s="11" t="n">
        <v>5</v>
      </c>
      <c r="B9" s="32" t="n">
        <f aca="false">'Start Here'!$B$4+A9-1</f>
        <v>46314</v>
      </c>
      <c r="C9" s="23"/>
      <c r="D9" s="23"/>
      <c r="E9" s="24"/>
      <c r="F9" s="23"/>
      <c r="G9" s="23"/>
      <c r="H9" s="23"/>
      <c r="I9" s="23"/>
      <c r="J9" s="33" t="str">
        <f aca="false">IF(COUNT(F9:I9)&lt;4,"",ROUND(AVERAGE(F9:I9)*2,0)/2)</f>
        <v/>
      </c>
      <c r="K9" s="23"/>
      <c r="L9" s="24"/>
      <c r="M9" s="24"/>
    </row>
    <row r="10" customFormat="false" ht="15" hidden="false" customHeight="false" outlineLevel="0" collapsed="false">
      <c r="A10" s="11" t="n">
        <v>6</v>
      </c>
      <c r="B10" s="32" t="n">
        <f aca="false">'Start Here'!$B$4+A10-1</f>
        <v>46315</v>
      </c>
      <c r="C10" s="23"/>
      <c r="D10" s="23"/>
      <c r="E10" s="24"/>
      <c r="F10" s="23"/>
      <c r="G10" s="23"/>
      <c r="H10" s="23"/>
      <c r="I10" s="23"/>
      <c r="J10" s="33" t="str">
        <f aca="false">IF(COUNT(F10:I10)&lt;4,"",ROUND(AVERAGE(F10:I10)*2,0)/2)</f>
        <v/>
      </c>
      <c r="K10" s="23"/>
      <c r="L10" s="24"/>
      <c r="M10" s="24"/>
    </row>
    <row r="11" customFormat="false" ht="15" hidden="false" customHeight="false" outlineLevel="0" collapsed="false">
      <c r="A11" s="11" t="n">
        <v>7</v>
      </c>
      <c r="B11" s="32" t="n">
        <f aca="false">'Start Here'!$B$4+A11-1</f>
        <v>46316</v>
      </c>
      <c r="C11" s="23"/>
      <c r="D11" s="23"/>
      <c r="E11" s="24"/>
      <c r="F11" s="23"/>
      <c r="G11" s="23"/>
      <c r="H11" s="23"/>
      <c r="I11" s="23"/>
      <c r="J11" s="33" t="str">
        <f aca="false">IF(COUNT(F11:I11)&lt;4,"",ROUND(AVERAGE(F11:I11)*2,0)/2)</f>
        <v/>
      </c>
      <c r="K11" s="23"/>
      <c r="L11" s="24"/>
      <c r="M11" s="24"/>
    </row>
    <row r="12" customFormat="false" ht="15" hidden="false" customHeight="false" outlineLevel="0" collapsed="false">
      <c r="A12" s="11" t="n">
        <v>8</v>
      </c>
      <c r="B12" s="32" t="n">
        <f aca="false">'Start Here'!$B$4+A12-1</f>
        <v>46317</v>
      </c>
      <c r="C12" s="23"/>
      <c r="D12" s="23"/>
      <c r="E12" s="24"/>
      <c r="F12" s="23"/>
      <c r="G12" s="23"/>
      <c r="H12" s="23"/>
      <c r="I12" s="23"/>
      <c r="J12" s="33" t="str">
        <f aca="false">IF(COUNT(F12:I12)&lt;4,"",ROUND(AVERAGE(F12:I12)*2,0)/2)</f>
        <v/>
      </c>
      <c r="K12" s="23"/>
      <c r="L12" s="24"/>
      <c r="M12" s="24"/>
    </row>
    <row r="13" customFormat="false" ht="15" hidden="false" customHeight="false" outlineLevel="0" collapsed="false">
      <c r="A13" s="11" t="n">
        <v>9</v>
      </c>
      <c r="B13" s="32" t="n">
        <f aca="false">'Start Here'!$B$4+A13-1</f>
        <v>46318</v>
      </c>
      <c r="C13" s="23"/>
      <c r="D13" s="23"/>
      <c r="E13" s="24"/>
      <c r="F13" s="23"/>
      <c r="G13" s="23"/>
      <c r="H13" s="23"/>
      <c r="I13" s="23"/>
      <c r="J13" s="33" t="str">
        <f aca="false">IF(COUNT(F13:I13)&lt;4,"",ROUND(AVERAGE(F13:I13)*2,0)/2)</f>
        <v/>
      </c>
      <c r="K13" s="23"/>
      <c r="L13" s="24"/>
      <c r="M13" s="24"/>
    </row>
    <row r="14" customFormat="false" ht="15" hidden="false" customHeight="false" outlineLevel="0" collapsed="false">
      <c r="A14" s="11" t="n">
        <v>10</v>
      </c>
      <c r="B14" s="32" t="n">
        <f aca="false">'Start Here'!$B$4+A14-1</f>
        <v>46319</v>
      </c>
      <c r="C14" s="23"/>
      <c r="D14" s="23"/>
      <c r="E14" s="24"/>
      <c r="F14" s="23"/>
      <c r="G14" s="23"/>
      <c r="H14" s="23"/>
      <c r="I14" s="23"/>
      <c r="J14" s="33" t="str">
        <f aca="false">IF(COUNT(F14:I14)&lt;4,"",ROUND(AVERAGE(F14:I14)*2,0)/2)</f>
        <v/>
      </c>
      <c r="K14" s="23"/>
      <c r="L14" s="24"/>
      <c r="M14" s="24"/>
    </row>
    <row r="15" customFormat="false" ht="15" hidden="false" customHeight="false" outlineLevel="0" collapsed="false">
      <c r="A15" s="11" t="n">
        <v>11</v>
      </c>
      <c r="B15" s="32" t="n">
        <f aca="false">'Start Here'!$B$4+A15-1</f>
        <v>46320</v>
      </c>
      <c r="C15" s="23"/>
      <c r="D15" s="23"/>
      <c r="E15" s="24"/>
      <c r="F15" s="23"/>
      <c r="G15" s="23"/>
      <c r="H15" s="23"/>
      <c r="I15" s="23"/>
      <c r="J15" s="33" t="str">
        <f aca="false">IF(COUNT(F15:I15)&lt;4,"",ROUND(AVERAGE(F15:I15)*2,0)/2)</f>
        <v/>
      </c>
      <c r="K15" s="23"/>
      <c r="L15" s="24"/>
      <c r="M15" s="24"/>
    </row>
    <row r="16" customFormat="false" ht="15" hidden="false" customHeight="false" outlineLevel="0" collapsed="false">
      <c r="A16" s="11" t="n">
        <v>12</v>
      </c>
      <c r="B16" s="32" t="n">
        <f aca="false">'Start Here'!$B$4+A16-1</f>
        <v>46321</v>
      </c>
      <c r="C16" s="23"/>
      <c r="D16" s="23"/>
      <c r="E16" s="24"/>
      <c r="F16" s="23"/>
      <c r="G16" s="23"/>
      <c r="H16" s="23"/>
      <c r="I16" s="23"/>
      <c r="J16" s="33" t="str">
        <f aca="false">IF(COUNT(F16:I16)&lt;4,"",ROUND(AVERAGE(F16:I16)*2,0)/2)</f>
        <v/>
      </c>
      <c r="K16" s="23"/>
      <c r="L16" s="24"/>
      <c r="M16" s="24"/>
    </row>
    <row r="17" customFormat="false" ht="15" hidden="false" customHeight="false" outlineLevel="0" collapsed="false">
      <c r="A17" s="11" t="n">
        <v>13</v>
      </c>
      <c r="B17" s="32" t="n">
        <f aca="false">'Start Here'!$B$4+A17-1</f>
        <v>46322</v>
      </c>
      <c r="C17" s="23"/>
      <c r="D17" s="23"/>
      <c r="E17" s="24"/>
      <c r="F17" s="23"/>
      <c r="G17" s="23"/>
      <c r="H17" s="23"/>
      <c r="I17" s="23"/>
      <c r="J17" s="33" t="str">
        <f aca="false">IF(COUNT(F17:I17)&lt;4,"",ROUND(AVERAGE(F17:I17)*2,0)/2)</f>
        <v/>
      </c>
      <c r="K17" s="23"/>
      <c r="L17" s="24"/>
      <c r="M17" s="24"/>
    </row>
    <row r="18" customFormat="false" ht="15" hidden="false" customHeight="false" outlineLevel="0" collapsed="false">
      <c r="A18" s="11" t="n">
        <v>14</v>
      </c>
      <c r="B18" s="32" t="n">
        <f aca="false">'Start Here'!$B$4+A18-1</f>
        <v>46323</v>
      </c>
      <c r="C18" s="23"/>
      <c r="D18" s="23"/>
      <c r="E18" s="24"/>
      <c r="F18" s="23"/>
      <c r="G18" s="23"/>
      <c r="H18" s="23"/>
      <c r="I18" s="23"/>
      <c r="J18" s="33" t="str">
        <f aca="false">IF(COUNT(F18:I18)&lt;4,"",ROUND(AVERAGE(F18:I18)*2,0)/2)</f>
        <v/>
      </c>
      <c r="K18" s="23"/>
      <c r="L18" s="24"/>
      <c r="M18" s="24"/>
    </row>
    <row r="19" customFormat="false" ht="15" hidden="false" customHeight="false" outlineLevel="0" collapsed="false">
      <c r="A19" s="11" t="n">
        <v>15</v>
      </c>
      <c r="B19" s="32" t="n">
        <f aca="false">'Start Here'!$B$4+A19-1</f>
        <v>46324</v>
      </c>
      <c r="C19" s="23"/>
      <c r="D19" s="23"/>
      <c r="E19" s="24"/>
      <c r="F19" s="23"/>
      <c r="G19" s="23"/>
      <c r="H19" s="23"/>
      <c r="I19" s="23"/>
      <c r="J19" s="33" t="str">
        <f aca="false">IF(COUNT(F19:I19)&lt;4,"",ROUND(AVERAGE(F19:I19)*2,0)/2)</f>
        <v/>
      </c>
      <c r="K19" s="23"/>
      <c r="L19" s="24"/>
      <c r="M19" s="24"/>
    </row>
    <row r="20" customFormat="false" ht="15" hidden="false" customHeight="false" outlineLevel="0" collapsed="false">
      <c r="A20" s="11" t="n">
        <v>16</v>
      </c>
      <c r="B20" s="32" t="n">
        <f aca="false">'Start Here'!$B$4+A20-1</f>
        <v>46325</v>
      </c>
      <c r="C20" s="23"/>
      <c r="D20" s="23"/>
      <c r="E20" s="24"/>
      <c r="F20" s="23"/>
      <c r="G20" s="23"/>
      <c r="H20" s="23"/>
      <c r="I20" s="23"/>
      <c r="J20" s="33" t="str">
        <f aca="false">IF(COUNT(F20:I20)&lt;4,"",ROUND(AVERAGE(F20:I20)*2,0)/2)</f>
        <v/>
      </c>
      <c r="K20" s="23"/>
      <c r="L20" s="24"/>
      <c r="M20" s="24"/>
    </row>
    <row r="21" customFormat="false" ht="15" hidden="false" customHeight="false" outlineLevel="0" collapsed="false">
      <c r="A21" s="11" t="n">
        <v>17</v>
      </c>
      <c r="B21" s="32" t="n">
        <f aca="false">'Start Here'!$B$4+A21-1</f>
        <v>46326</v>
      </c>
      <c r="C21" s="23"/>
      <c r="D21" s="23"/>
      <c r="E21" s="24"/>
      <c r="F21" s="23"/>
      <c r="G21" s="23"/>
      <c r="H21" s="23"/>
      <c r="I21" s="23"/>
      <c r="J21" s="33" t="str">
        <f aca="false">IF(COUNT(F21:I21)&lt;4,"",ROUND(AVERAGE(F21:I21)*2,0)/2)</f>
        <v/>
      </c>
      <c r="K21" s="23"/>
      <c r="L21" s="24"/>
      <c r="M21" s="24"/>
    </row>
    <row r="22" customFormat="false" ht="15" hidden="false" customHeight="false" outlineLevel="0" collapsed="false">
      <c r="A22" s="11" t="n">
        <v>18</v>
      </c>
      <c r="B22" s="32" t="n">
        <f aca="false">'Start Here'!$B$4+A22-1</f>
        <v>46327</v>
      </c>
      <c r="C22" s="23"/>
      <c r="D22" s="23"/>
      <c r="E22" s="24"/>
      <c r="F22" s="23"/>
      <c r="G22" s="23"/>
      <c r="H22" s="23"/>
      <c r="I22" s="23"/>
      <c r="J22" s="33" t="str">
        <f aca="false">IF(COUNT(F22:I22)&lt;4,"",ROUND(AVERAGE(F22:I22)*2,0)/2)</f>
        <v/>
      </c>
      <c r="K22" s="23"/>
      <c r="L22" s="24"/>
      <c r="M22" s="24"/>
    </row>
    <row r="23" customFormat="false" ht="15" hidden="false" customHeight="false" outlineLevel="0" collapsed="false">
      <c r="A23" s="11" t="n">
        <v>19</v>
      </c>
      <c r="B23" s="32" t="n">
        <f aca="false">'Start Here'!$B$4+A23-1</f>
        <v>46328</v>
      </c>
      <c r="C23" s="23"/>
      <c r="D23" s="23"/>
      <c r="E23" s="24"/>
      <c r="F23" s="23"/>
      <c r="G23" s="23"/>
      <c r="H23" s="23"/>
      <c r="I23" s="23"/>
      <c r="J23" s="33" t="str">
        <f aca="false">IF(COUNT(F23:I23)&lt;4,"",ROUND(AVERAGE(F23:I23)*2,0)/2)</f>
        <v/>
      </c>
      <c r="K23" s="23"/>
      <c r="L23" s="24"/>
      <c r="M23" s="24"/>
    </row>
    <row r="24" customFormat="false" ht="15" hidden="false" customHeight="false" outlineLevel="0" collapsed="false">
      <c r="A24" s="11" t="n">
        <v>20</v>
      </c>
      <c r="B24" s="32" t="n">
        <f aca="false">'Start Here'!$B$4+A24-1</f>
        <v>46329</v>
      </c>
      <c r="C24" s="23"/>
      <c r="D24" s="23"/>
      <c r="E24" s="24"/>
      <c r="F24" s="23"/>
      <c r="G24" s="23"/>
      <c r="H24" s="23"/>
      <c r="I24" s="23"/>
      <c r="J24" s="33" t="str">
        <f aca="false">IF(COUNT(F24:I24)&lt;4,"",ROUND(AVERAGE(F24:I24)*2,0)/2)</f>
        <v/>
      </c>
      <c r="K24" s="23"/>
      <c r="L24" s="24"/>
      <c r="M24" s="24"/>
    </row>
    <row r="25" customFormat="false" ht="15" hidden="false" customHeight="false" outlineLevel="0" collapsed="false">
      <c r="A25" s="11" t="n">
        <v>21</v>
      </c>
      <c r="B25" s="32" t="n">
        <f aca="false">'Start Here'!$B$4+A25-1</f>
        <v>46330</v>
      </c>
      <c r="C25" s="23"/>
      <c r="D25" s="23"/>
      <c r="E25" s="24"/>
      <c r="F25" s="23"/>
      <c r="G25" s="23"/>
      <c r="H25" s="23"/>
      <c r="I25" s="23"/>
      <c r="J25" s="33" t="str">
        <f aca="false">IF(COUNT(F25:I25)&lt;4,"",ROUND(AVERAGE(F25:I25)*2,0)/2)</f>
        <v/>
      </c>
      <c r="K25" s="23"/>
      <c r="L25" s="24"/>
      <c r="M25" s="24"/>
    </row>
    <row r="26" customFormat="false" ht="15" hidden="false" customHeight="false" outlineLevel="0" collapsed="false">
      <c r="A26" s="11" t="n">
        <v>22</v>
      </c>
      <c r="B26" s="32" t="n">
        <f aca="false">'Start Here'!$B$4+A26-1</f>
        <v>46331</v>
      </c>
      <c r="C26" s="23"/>
      <c r="D26" s="23"/>
      <c r="E26" s="24"/>
      <c r="F26" s="23"/>
      <c r="G26" s="23"/>
      <c r="H26" s="23"/>
      <c r="I26" s="23"/>
      <c r="J26" s="33" t="str">
        <f aca="false">IF(COUNT(F26:I26)&lt;4,"",ROUND(AVERAGE(F26:I26)*2,0)/2)</f>
        <v/>
      </c>
      <c r="K26" s="23"/>
      <c r="L26" s="24"/>
      <c r="M26" s="24"/>
    </row>
    <row r="27" customFormat="false" ht="15" hidden="false" customHeight="false" outlineLevel="0" collapsed="false">
      <c r="A27" s="11" t="n">
        <v>23</v>
      </c>
      <c r="B27" s="32" t="n">
        <f aca="false">'Start Here'!$B$4+A27-1</f>
        <v>46332</v>
      </c>
      <c r="C27" s="23"/>
      <c r="D27" s="23"/>
      <c r="E27" s="24"/>
      <c r="F27" s="23"/>
      <c r="G27" s="23"/>
      <c r="H27" s="23"/>
      <c r="I27" s="23"/>
      <c r="J27" s="33" t="str">
        <f aca="false">IF(COUNT(F27:I27)&lt;4,"",ROUND(AVERAGE(F27:I27)*2,0)/2)</f>
        <v/>
      </c>
      <c r="K27" s="23"/>
      <c r="L27" s="24"/>
      <c r="M27" s="24"/>
    </row>
    <row r="28" customFormat="false" ht="15" hidden="false" customHeight="false" outlineLevel="0" collapsed="false">
      <c r="A28" s="11" t="n">
        <v>24</v>
      </c>
      <c r="B28" s="32" t="n">
        <f aca="false">'Start Here'!$B$4+A28-1</f>
        <v>46333</v>
      </c>
      <c r="C28" s="23"/>
      <c r="D28" s="23"/>
      <c r="E28" s="24"/>
      <c r="F28" s="23"/>
      <c r="G28" s="23"/>
      <c r="H28" s="23"/>
      <c r="I28" s="23"/>
      <c r="J28" s="33" t="str">
        <f aca="false">IF(COUNT(F28:I28)&lt;4,"",ROUND(AVERAGE(F28:I28)*2,0)/2)</f>
        <v/>
      </c>
      <c r="K28" s="23"/>
      <c r="L28" s="24"/>
      <c r="M28" s="24"/>
    </row>
    <row r="29" customFormat="false" ht="15" hidden="false" customHeight="false" outlineLevel="0" collapsed="false">
      <c r="A29" s="11" t="n">
        <v>25</v>
      </c>
      <c r="B29" s="32" t="n">
        <f aca="false">'Start Here'!$B$4+A29-1</f>
        <v>46334</v>
      </c>
      <c r="C29" s="23"/>
      <c r="D29" s="23"/>
      <c r="E29" s="24"/>
      <c r="F29" s="23"/>
      <c r="G29" s="23"/>
      <c r="H29" s="23"/>
      <c r="I29" s="23"/>
      <c r="J29" s="33" t="str">
        <f aca="false">IF(COUNT(F29:I29)&lt;4,"",ROUND(AVERAGE(F29:I29)*2,0)/2)</f>
        <v/>
      </c>
      <c r="K29" s="23"/>
      <c r="L29" s="24"/>
      <c r="M29" s="24"/>
    </row>
    <row r="30" customFormat="false" ht="15" hidden="false" customHeight="false" outlineLevel="0" collapsed="false">
      <c r="A30" s="11" t="n">
        <v>26</v>
      </c>
      <c r="B30" s="32" t="n">
        <f aca="false">'Start Here'!$B$4+A30-1</f>
        <v>46335</v>
      </c>
      <c r="C30" s="23"/>
      <c r="D30" s="23"/>
      <c r="E30" s="24"/>
      <c r="F30" s="23"/>
      <c r="G30" s="23"/>
      <c r="H30" s="23"/>
      <c r="I30" s="23"/>
      <c r="J30" s="33" t="str">
        <f aca="false">IF(COUNT(F30:I30)&lt;4,"",ROUND(AVERAGE(F30:I30)*2,0)/2)</f>
        <v/>
      </c>
      <c r="K30" s="23"/>
      <c r="L30" s="24"/>
      <c r="M30" s="24"/>
    </row>
    <row r="31" customFormat="false" ht="15" hidden="false" customHeight="false" outlineLevel="0" collapsed="false">
      <c r="A31" s="11" t="n">
        <v>27</v>
      </c>
      <c r="B31" s="32" t="n">
        <f aca="false">'Start Here'!$B$4+A31-1</f>
        <v>46336</v>
      </c>
      <c r="C31" s="23"/>
      <c r="D31" s="23"/>
      <c r="E31" s="24"/>
      <c r="F31" s="23"/>
      <c r="G31" s="23"/>
      <c r="H31" s="23"/>
      <c r="I31" s="23"/>
      <c r="J31" s="33" t="str">
        <f aca="false">IF(COUNT(F31:I31)&lt;4,"",ROUND(AVERAGE(F31:I31)*2,0)/2)</f>
        <v/>
      </c>
      <c r="K31" s="23"/>
      <c r="L31" s="24"/>
      <c r="M31" s="24"/>
    </row>
    <row r="32" customFormat="false" ht="15" hidden="false" customHeight="false" outlineLevel="0" collapsed="false">
      <c r="A32" s="11" t="n">
        <v>28</v>
      </c>
      <c r="B32" s="32" t="n">
        <f aca="false">'Start Here'!$B$4+A32-1</f>
        <v>46337</v>
      </c>
      <c r="C32" s="23"/>
      <c r="D32" s="23"/>
      <c r="E32" s="24"/>
      <c r="F32" s="23"/>
      <c r="G32" s="23"/>
      <c r="H32" s="23"/>
      <c r="I32" s="23"/>
      <c r="J32" s="33" t="str">
        <f aca="false">IF(COUNT(F32:I32)&lt;4,"",ROUND(AVERAGE(F32:I32)*2,0)/2)</f>
        <v/>
      </c>
      <c r="K32" s="23"/>
      <c r="L32" s="24"/>
      <c r="M32" s="24"/>
    </row>
    <row r="33" customFormat="false" ht="15" hidden="false" customHeight="false" outlineLevel="0" collapsed="false">
      <c r="A33" s="11" t="n">
        <v>29</v>
      </c>
      <c r="B33" s="32" t="n">
        <f aca="false">'Start Here'!$B$4+A33-1</f>
        <v>46338</v>
      </c>
      <c r="C33" s="23"/>
      <c r="D33" s="23"/>
      <c r="E33" s="24"/>
      <c r="F33" s="23"/>
      <c r="G33" s="23"/>
      <c r="H33" s="23"/>
      <c r="I33" s="23"/>
      <c r="J33" s="33" t="str">
        <f aca="false">IF(COUNT(F33:I33)&lt;4,"",ROUND(AVERAGE(F33:I33)*2,0)/2)</f>
        <v/>
      </c>
      <c r="K33" s="23"/>
      <c r="L33" s="24"/>
      <c r="M33" s="24"/>
    </row>
    <row r="34" customFormat="false" ht="15" hidden="false" customHeight="false" outlineLevel="0" collapsed="false">
      <c r="A34" s="11" t="n">
        <v>30</v>
      </c>
      <c r="B34" s="32" t="n">
        <f aca="false">'Start Here'!$B$4+A34-1</f>
        <v>46339</v>
      </c>
      <c r="C34" s="23"/>
      <c r="D34" s="23"/>
      <c r="E34" s="24"/>
      <c r="F34" s="23"/>
      <c r="G34" s="23"/>
      <c r="H34" s="23"/>
      <c r="I34" s="23"/>
      <c r="J34" s="33" t="str">
        <f aca="false">IF(COUNT(F34:I34)&lt;4,"",ROUND(AVERAGE(F34:I34)*2,0)/2)</f>
        <v/>
      </c>
      <c r="K34" s="23"/>
      <c r="L34" s="24"/>
      <c r="M34" s="24"/>
    </row>
    <row r="35" customFormat="false" ht="15" hidden="false" customHeight="false" outlineLevel="0" collapsed="false">
      <c r="A35" s="11" t="n">
        <v>31</v>
      </c>
      <c r="B35" s="32" t="n">
        <f aca="false">'Start Here'!$B$4+A35-1</f>
        <v>46340</v>
      </c>
      <c r="C35" s="23"/>
      <c r="D35" s="23"/>
      <c r="E35" s="24"/>
      <c r="F35" s="23"/>
      <c r="G35" s="23"/>
      <c r="H35" s="23"/>
      <c r="I35" s="23"/>
      <c r="J35" s="33" t="str">
        <f aca="false">IF(COUNT(F35:I35)&lt;4,"",ROUND(AVERAGE(F35:I35)*2,0)/2)</f>
        <v/>
      </c>
      <c r="K35" s="23"/>
      <c r="L35" s="24"/>
      <c r="M35" s="24"/>
    </row>
    <row r="36" customFormat="false" ht="15" hidden="false" customHeight="false" outlineLevel="0" collapsed="false">
      <c r="A36" s="11" t="n">
        <v>32</v>
      </c>
      <c r="B36" s="32" t="n">
        <f aca="false">'Start Here'!$B$4+A36-1</f>
        <v>46341</v>
      </c>
      <c r="C36" s="23"/>
      <c r="D36" s="23"/>
      <c r="E36" s="24"/>
      <c r="F36" s="23"/>
      <c r="G36" s="23"/>
      <c r="H36" s="23"/>
      <c r="I36" s="23"/>
      <c r="J36" s="33" t="str">
        <f aca="false">IF(COUNT(F36:I36)&lt;4,"",ROUND(AVERAGE(F36:I36)*2,0)/2)</f>
        <v/>
      </c>
      <c r="K36" s="23"/>
      <c r="L36" s="24"/>
      <c r="M36" s="24"/>
    </row>
    <row r="37" customFormat="false" ht="15" hidden="false" customHeight="false" outlineLevel="0" collapsed="false">
      <c r="A37" s="11" t="n">
        <v>33</v>
      </c>
      <c r="B37" s="32" t="n">
        <f aca="false">'Start Here'!$B$4+A37-1</f>
        <v>46342</v>
      </c>
      <c r="C37" s="23"/>
      <c r="D37" s="23"/>
      <c r="E37" s="24"/>
      <c r="F37" s="23"/>
      <c r="G37" s="23"/>
      <c r="H37" s="23"/>
      <c r="I37" s="23"/>
      <c r="J37" s="33" t="str">
        <f aca="false">IF(COUNT(F37:I37)&lt;4,"",ROUND(AVERAGE(F37:I37)*2,0)/2)</f>
        <v/>
      </c>
      <c r="K37" s="23"/>
      <c r="L37" s="24"/>
      <c r="M37" s="24"/>
    </row>
    <row r="38" customFormat="false" ht="15" hidden="false" customHeight="false" outlineLevel="0" collapsed="false">
      <c r="A38" s="11" t="n">
        <v>34</v>
      </c>
      <c r="B38" s="32" t="n">
        <f aca="false">'Start Here'!$B$4+A38-1</f>
        <v>46343</v>
      </c>
      <c r="C38" s="23"/>
      <c r="D38" s="23"/>
      <c r="E38" s="24"/>
      <c r="F38" s="23"/>
      <c r="G38" s="23"/>
      <c r="H38" s="23"/>
      <c r="I38" s="23"/>
      <c r="J38" s="33" t="str">
        <f aca="false">IF(COUNT(F38:I38)&lt;4,"",ROUND(AVERAGE(F38:I38)*2,0)/2)</f>
        <v/>
      </c>
      <c r="K38" s="23"/>
      <c r="L38" s="24"/>
      <c r="M38" s="24"/>
    </row>
    <row r="39" customFormat="false" ht="15" hidden="false" customHeight="false" outlineLevel="0" collapsed="false">
      <c r="A39" s="11" t="n">
        <v>35</v>
      </c>
      <c r="B39" s="32" t="n">
        <f aca="false">'Start Here'!$B$4+A39-1</f>
        <v>46344</v>
      </c>
      <c r="C39" s="23"/>
      <c r="D39" s="23"/>
      <c r="E39" s="24"/>
      <c r="F39" s="23"/>
      <c r="G39" s="23"/>
      <c r="H39" s="23"/>
      <c r="I39" s="23"/>
      <c r="J39" s="33" t="str">
        <f aca="false">IF(COUNT(F39:I39)&lt;4,"",ROUND(AVERAGE(F39:I39)*2,0)/2)</f>
        <v/>
      </c>
      <c r="K39" s="23"/>
      <c r="L39" s="24"/>
      <c r="M39" s="24"/>
    </row>
    <row r="40" customFormat="false" ht="15" hidden="false" customHeight="false" outlineLevel="0" collapsed="false">
      <c r="A40" s="11" t="n">
        <v>36</v>
      </c>
      <c r="B40" s="32" t="n">
        <f aca="false">'Start Here'!$B$4+A40-1</f>
        <v>46345</v>
      </c>
      <c r="C40" s="23"/>
      <c r="D40" s="23"/>
      <c r="E40" s="24"/>
      <c r="F40" s="23"/>
      <c r="G40" s="23"/>
      <c r="H40" s="23"/>
      <c r="I40" s="23"/>
      <c r="J40" s="33" t="str">
        <f aca="false">IF(COUNT(F40:I40)&lt;4,"",ROUND(AVERAGE(F40:I40)*2,0)/2)</f>
        <v/>
      </c>
      <c r="K40" s="23"/>
      <c r="L40" s="24"/>
      <c r="M40" s="24"/>
    </row>
    <row r="41" customFormat="false" ht="15" hidden="false" customHeight="false" outlineLevel="0" collapsed="false">
      <c r="A41" s="11" t="n">
        <v>37</v>
      </c>
      <c r="B41" s="32" t="n">
        <f aca="false">'Start Here'!$B$4+A41-1</f>
        <v>46346</v>
      </c>
      <c r="C41" s="23"/>
      <c r="D41" s="23"/>
      <c r="E41" s="24"/>
      <c r="F41" s="23"/>
      <c r="G41" s="23"/>
      <c r="H41" s="23"/>
      <c r="I41" s="23"/>
      <c r="J41" s="33" t="str">
        <f aca="false">IF(COUNT(F41:I41)&lt;4,"",ROUND(AVERAGE(F41:I41)*2,0)/2)</f>
        <v/>
      </c>
      <c r="K41" s="23"/>
      <c r="L41" s="24"/>
      <c r="M41" s="24"/>
    </row>
    <row r="42" customFormat="false" ht="15" hidden="false" customHeight="false" outlineLevel="0" collapsed="false">
      <c r="A42" s="11" t="n">
        <v>38</v>
      </c>
      <c r="B42" s="32" t="n">
        <f aca="false">'Start Here'!$B$4+A42-1</f>
        <v>46347</v>
      </c>
      <c r="C42" s="23"/>
      <c r="D42" s="23"/>
      <c r="E42" s="24"/>
      <c r="F42" s="23"/>
      <c r="G42" s="23"/>
      <c r="H42" s="23"/>
      <c r="I42" s="23"/>
      <c r="J42" s="33" t="str">
        <f aca="false">IF(COUNT(F42:I42)&lt;4,"",ROUND(AVERAGE(F42:I42)*2,0)/2)</f>
        <v/>
      </c>
      <c r="K42" s="23"/>
      <c r="L42" s="24"/>
      <c r="M42" s="24"/>
    </row>
    <row r="43" customFormat="false" ht="15" hidden="false" customHeight="false" outlineLevel="0" collapsed="false">
      <c r="A43" s="11" t="n">
        <v>39</v>
      </c>
      <c r="B43" s="32" t="n">
        <f aca="false">'Start Here'!$B$4+A43-1</f>
        <v>46348</v>
      </c>
      <c r="C43" s="23"/>
      <c r="D43" s="23"/>
      <c r="E43" s="24"/>
      <c r="F43" s="23"/>
      <c r="G43" s="23"/>
      <c r="H43" s="23"/>
      <c r="I43" s="23"/>
      <c r="J43" s="33" t="str">
        <f aca="false">IF(COUNT(F43:I43)&lt;4,"",ROUND(AVERAGE(F43:I43)*2,0)/2)</f>
        <v/>
      </c>
      <c r="K43" s="23"/>
      <c r="L43" s="24"/>
      <c r="M43" s="24"/>
    </row>
    <row r="44" customFormat="false" ht="15" hidden="false" customHeight="false" outlineLevel="0" collapsed="false">
      <c r="A44" s="11" t="n">
        <v>40</v>
      </c>
      <c r="B44" s="32" t="n">
        <f aca="false">'Start Here'!$B$4+A44-1</f>
        <v>46349</v>
      </c>
      <c r="C44" s="23"/>
      <c r="D44" s="23"/>
      <c r="E44" s="24"/>
      <c r="F44" s="23"/>
      <c r="G44" s="23"/>
      <c r="H44" s="23"/>
      <c r="I44" s="23"/>
      <c r="J44" s="33" t="str">
        <f aca="false">IF(COUNT(F44:I44)&lt;4,"",ROUND(AVERAGE(F44:I44)*2,0)/2)</f>
        <v/>
      </c>
      <c r="K44" s="23"/>
      <c r="L44" s="24"/>
      <c r="M44" s="24"/>
    </row>
    <row r="45" customFormat="false" ht="15" hidden="false" customHeight="false" outlineLevel="0" collapsed="false">
      <c r="A45" s="11" t="n">
        <v>41</v>
      </c>
      <c r="B45" s="32" t="n">
        <f aca="false">'Start Here'!$B$4+A45-1</f>
        <v>46350</v>
      </c>
      <c r="C45" s="23"/>
      <c r="D45" s="23"/>
      <c r="E45" s="24"/>
      <c r="F45" s="23"/>
      <c r="G45" s="23"/>
      <c r="H45" s="23"/>
      <c r="I45" s="23"/>
      <c r="J45" s="33" t="str">
        <f aca="false">IF(COUNT(F45:I45)&lt;4,"",ROUND(AVERAGE(F45:I45)*2,0)/2)</f>
        <v/>
      </c>
      <c r="K45" s="23"/>
      <c r="L45" s="24"/>
      <c r="M45" s="24"/>
    </row>
    <row r="46" customFormat="false" ht="15" hidden="false" customHeight="false" outlineLevel="0" collapsed="false">
      <c r="A46" s="11" t="n">
        <v>42</v>
      </c>
      <c r="B46" s="32" t="n">
        <f aca="false">'Start Here'!$B$4+A46-1</f>
        <v>46351</v>
      </c>
      <c r="C46" s="23"/>
      <c r="D46" s="23"/>
      <c r="E46" s="24"/>
      <c r="F46" s="23"/>
      <c r="G46" s="23"/>
      <c r="H46" s="23"/>
      <c r="I46" s="23"/>
      <c r="J46" s="33" t="str">
        <f aca="false">IF(COUNT(F46:I46)&lt;4,"",ROUND(AVERAGE(F46:I46)*2,0)/2)</f>
        <v/>
      </c>
      <c r="K46" s="23"/>
      <c r="L46" s="24"/>
      <c r="M46" s="24"/>
    </row>
    <row r="47" customFormat="false" ht="15" hidden="false" customHeight="false" outlineLevel="0" collapsed="false">
      <c r="A47" s="11" t="n">
        <v>43</v>
      </c>
      <c r="B47" s="32" t="n">
        <f aca="false">'Start Here'!$B$4+A47-1</f>
        <v>46352</v>
      </c>
      <c r="C47" s="23"/>
      <c r="D47" s="23"/>
      <c r="E47" s="24"/>
      <c r="F47" s="23"/>
      <c r="G47" s="23"/>
      <c r="H47" s="23"/>
      <c r="I47" s="23"/>
      <c r="J47" s="33" t="str">
        <f aca="false">IF(COUNT(F47:I47)&lt;4,"",ROUND(AVERAGE(F47:I47)*2,0)/2)</f>
        <v/>
      </c>
      <c r="K47" s="23"/>
      <c r="L47" s="24"/>
      <c r="M47" s="24"/>
    </row>
    <row r="48" customFormat="false" ht="15" hidden="false" customHeight="false" outlineLevel="0" collapsed="false">
      <c r="A48" s="11" t="n">
        <v>44</v>
      </c>
      <c r="B48" s="32" t="n">
        <f aca="false">'Start Here'!$B$4+A48-1</f>
        <v>46353</v>
      </c>
      <c r="C48" s="23"/>
      <c r="D48" s="23"/>
      <c r="E48" s="24"/>
      <c r="F48" s="23"/>
      <c r="G48" s="23"/>
      <c r="H48" s="23"/>
      <c r="I48" s="23"/>
      <c r="J48" s="33" t="str">
        <f aca="false">IF(COUNT(F48:I48)&lt;4,"",ROUND(AVERAGE(F48:I48)*2,0)/2)</f>
        <v/>
      </c>
      <c r="K48" s="23"/>
      <c r="L48" s="24"/>
      <c r="M48" s="24"/>
    </row>
    <row r="49" customFormat="false" ht="15" hidden="false" customHeight="false" outlineLevel="0" collapsed="false">
      <c r="A49" s="11" t="n">
        <v>45</v>
      </c>
      <c r="B49" s="32" t="n">
        <f aca="false">'Start Here'!$B$4+A49-1</f>
        <v>46354</v>
      </c>
      <c r="C49" s="23"/>
      <c r="D49" s="23"/>
      <c r="E49" s="24"/>
      <c r="F49" s="23"/>
      <c r="G49" s="23"/>
      <c r="H49" s="23"/>
      <c r="I49" s="23"/>
      <c r="J49" s="33" t="str">
        <f aca="false">IF(COUNT(F49:I49)&lt;4,"",ROUND(AVERAGE(F49:I49)*2,0)/2)</f>
        <v/>
      </c>
      <c r="K49" s="23"/>
      <c r="L49" s="24"/>
      <c r="M49" s="24"/>
    </row>
    <row r="50" customFormat="false" ht="15" hidden="false" customHeight="false" outlineLevel="0" collapsed="false">
      <c r="A50" s="11" t="n">
        <v>46</v>
      </c>
      <c r="B50" s="32" t="n">
        <f aca="false">'Start Here'!$B$4+A50-1</f>
        <v>46355</v>
      </c>
      <c r="C50" s="23"/>
      <c r="D50" s="23"/>
      <c r="E50" s="24"/>
      <c r="F50" s="23"/>
      <c r="G50" s="23"/>
      <c r="H50" s="23"/>
      <c r="I50" s="23"/>
      <c r="J50" s="33" t="str">
        <f aca="false">IF(COUNT(F50:I50)&lt;4,"",ROUND(AVERAGE(F50:I50)*2,0)/2)</f>
        <v/>
      </c>
      <c r="K50" s="23"/>
      <c r="L50" s="24"/>
      <c r="M50" s="24"/>
    </row>
    <row r="51" customFormat="false" ht="15" hidden="false" customHeight="false" outlineLevel="0" collapsed="false">
      <c r="A51" s="11" t="n">
        <v>47</v>
      </c>
      <c r="B51" s="32" t="n">
        <f aca="false">'Start Here'!$B$4+A51-1</f>
        <v>46356</v>
      </c>
      <c r="C51" s="23"/>
      <c r="D51" s="23"/>
      <c r="E51" s="24"/>
      <c r="F51" s="23"/>
      <c r="G51" s="23"/>
      <c r="H51" s="23"/>
      <c r="I51" s="23"/>
      <c r="J51" s="33" t="str">
        <f aca="false">IF(COUNT(F51:I51)&lt;4,"",ROUND(AVERAGE(F51:I51)*2,0)/2)</f>
        <v/>
      </c>
      <c r="K51" s="23"/>
      <c r="L51" s="24"/>
      <c r="M51" s="24"/>
    </row>
    <row r="52" customFormat="false" ht="15" hidden="false" customHeight="false" outlineLevel="0" collapsed="false">
      <c r="A52" s="11" t="n">
        <v>48</v>
      </c>
      <c r="B52" s="32" t="n">
        <f aca="false">'Start Here'!$B$4+A52-1</f>
        <v>46357</v>
      </c>
      <c r="C52" s="23"/>
      <c r="D52" s="23"/>
      <c r="E52" s="24"/>
      <c r="F52" s="23"/>
      <c r="G52" s="23"/>
      <c r="H52" s="23"/>
      <c r="I52" s="23"/>
      <c r="J52" s="33" t="str">
        <f aca="false">IF(COUNT(F52:I52)&lt;4,"",ROUND(AVERAGE(F52:I52)*2,0)/2)</f>
        <v/>
      </c>
      <c r="K52" s="23"/>
      <c r="L52" s="24"/>
      <c r="M52" s="24"/>
    </row>
    <row r="53" customFormat="false" ht="15" hidden="false" customHeight="false" outlineLevel="0" collapsed="false">
      <c r="A53" s="11" t="n">
        <v>49</v>
      </c>
      <c r="B53" s="32" t="n">
        <f aca="false">'Start Here'!$B$4+A53-1</f>
        <v>46358</v>
      </c>
      <c r="C53" s="23"/>
      <c r="D53" s="23"/>
      <c r="E53" s="24"/>
      <c r="F53" s="23"/>
      <c r="G53" s="23"/>
      <c r="H53" s="23"/>
      <c r="I53" s="23"/>
      <c r="J53" s="33" t="str">
        <f aca="false">IF(COUNT(F53:I53)&lt;4,"",ROUND(AVERAGE(F53:I53)*2,0)/2)</f>
        <v/>
      </c>
      <c r="K53" s="23"/>
      <c r="L53" s="24"/>
      <c r="M53" s="24"/>
    </row>
    <row r="54" customFormat="false" ht="15" hidden="false" customHeight="false" outlineLevel="0" collapsed="false">
      <c r="A54" s="11" t="n">
        <v>50</v>
      </c>
      <c r="B54" s="32" t="n">
        <f aca="false">'Start Here'!$B$4+A54-1</f>
        <v>46359</v>
      </c>
      <c r="C54" s="23"/>
      <c r="D54" s="23"/>
      <c r="E54" s="24"/>
      <c r="F54" s="23"/>
      <c r="G54" s="23"/>
      <c r="H54" s="23"/>
      <c r="I54" s="23"/>
      <c r="J54" s="33" t="str">
        <f aca="false">IF(COUNT(F54:I54)&lt;4,"",ROUND(AVERAGE(F54:I54)*2,0)/2)</f>
        <v/>
      </c>
      <c r="K54" s="23"/>
      <c r="L54" s="24"/>
      <c r="M54" s="24"/>
    </row>
    <row r="55" customFormat="false" ht="15" hidden="false" customHeight="false" outlineLevel="0" collapsed="false">
      <c r="A55" s="11" t="n">
        <v>51</v>
      </c>
      <c r="B55" s="32" t="n">
        <f aca="false">'Start Here'!$B$4+A55-1</f>
        <v>46360</v>
      </c>
      <c r="C55" s="23"/>
      <c r="D55" s="23"/>
      <c r="E55" s="24"/>
      <c r="F55" s="23"/>
      <c r="G55" s="23"/>
      <c r="H55" s="23"/>
      <c r="I55" s="23"/>
      <c r="J55" s="33" t="str">
        <f aca="false">IF(COUNT(F55:I55)&lt;4,"",ROUND(AVERAGE(F55:I55)*2,0)/2)</f>
        <v/>
      </c>
      <c r="K55" s="23"/>
      <c r="L55" s="24"/>
      <c r="M55" s="24"/>
    </row>
    <row r="56" customFormat="false" ht="15" hidden="false" customHeight="false" outlineLevel="0" collapsed="false">
      <c r="A56" s="11" t="n">
        <v>52</v>
      </c>
      <c r="B56" s="32" t="n">
        <f aca="false">'Start Here'!$B$4+A56-1</f>
        <v>46361</v>
      </c>
      <c r="C56" s="23"/>
      <c r="D56" s="23"/>
      <c r="E56" s="24"/>
      <c r="F56" s="23"/>
      <c r="G56" s="23"/>
      <c r="H56" s="23"/>
      <c r="I56" s="23"/>
      <c r="J56" s="33" t="str">
        <f aca="false">IF(COUNT(F56:I56)&lt;4,"",ROUND(AVERAGE(F56:I56)*2,0)/2)</f>
        <v/>
      </c>
      <c r="K56" s="23"/>
      <c r="L56" s="24"/>
      <c r="M56" s="24"/>
    </row>
    <row r="57" customFormat="false" ht="15" hidden="false" customHeight="false" outlineLevel="0" collapsed="false">
      <c r="A57" s="11" t="n">
        <v>53</v>
      </c>
      <c r="B57" s="32" t="n">
        <f aca="false">'Start Here'!$B$4+A57-1</f>
        <v>46362</v>
      </c>
      <c r="C57" s="23"/>
      <c r="D57" s="23"/>
      <c r="E57" s="24"/>
      <c r="F57" s="23"/>
      <c r="G57" s="23"/>
      <c r="H57" s="23"/>
      <c r="I57" s="23"/>
      <c r="J57" s="33" t="str">
        <f aca="false">IF(COUNT(F57:I57)&lt;4,"",ROUND(AVERAGE(F57:I57)*2,0)/2)</f>
        <v/>
      </c>
      <c r="K57" s="23"/>
      <c r="L57" s="24"/>
      <c r="M57" s="24"/>
    </row>
    <row r="58" customFormat="false" ht="15" hidden="false" customHeight="false" outlineLevel="0" collapsed="false">
      <c r="A58" s="11" t="n">
        <v>54</v>
      </c>
      <c r="B58" s="32" t="n">
        <f aca="false">'Start Here'!$B$4+A58-1</f>
        <v>46363</v>
      </c>
      <c r="C58" s="23"/>
      <c r="D58" s="23"/>
      <c r="E58" s="24"/>
      <c r="F58" s="23"/>
      <c r="G58" s="23"/>
      <c r="H58" s="23"/>
      <c r="I58" s="23"/>
      <c r="J58" s="33" t="str">
        <f aca="false">IF(COUNT(F58:I58)&lt;4,"",ROUND(AVERAGE(F58:I58)*2,0)/2)</f>
        <v/>
      </c>
      <c r="K58" s="23"/>
      <c r="L58" s="24"/>
      <c r="M58" s="24"/>
    </row>
    <row r="59" customFormat="false" ht="15" hidden="false" customHeight="false" outlineLevel="0" collapsed="false">
      <c r="A59" s="11" t="n">
        <v>55</v>
      </c>
      <c r="B59" s="32" t="n">
        <f aca="false">'Start Here'!$B$4+A59-1</f>
        <v>46364</v>
      </c>
      <c r="C59" s="23"/>
      <c r="D59" s="23"/>
      <c r="E59" s="24"/>
      <c r="F59" s="23"/>
      <c r="G59" s="23"/>
      <c r="H59" s="23"/>
      <c r="I59" s="23"/>
      <c r="J59" s="33" t="str">
        <f aca="false">IF(COUNT(F59:I59)&lt;4,"",ROUND(AVERAGE(F59:I59)*2,0)/2)</f>
        <v/>
      </c>
      <c r="K59" s="23"/>
      <c r="L59" s="24"/>
      <c r="M59" s="24"/>
    </row>
    <row r="60" customFormat="false" ht="15" hidden="false" customHeight="false" outlineLevel="0" collapsed="false">
      <c r="A60" s="11" t="n">
        <v>56</v>
      </c>
      <c r="B60" s="32" t="n">
        <f aca="false">'Start Here'!$B$4+A60-1</f>
        <v>46365</v>
      </c>
      <c r="C60" s="23"/>
      <c r="D60" s="23"/>
      <c r="E60" s="24"/>
      <c r="F60" s="23"/>
      <c r="G60" s="23"/>
      <c r="H60" s="23"/>
      <c r="I60" s="23"/>
      <c r="J60" s="33" t="str">
        <f aca="false">IF(COUNT(F60:I60)&lt;4,"",ROUND(AVERAGE(F60:I60)*2,0)/2)</f>
        <v/>
      </c>
      <c r="K60" s="23"/>
      <c r="L60" s="24"/>
      <c r="M60" s="24"/>
    </row>
    <row r="61" customFormat="false" ht="15" hidden="false" customHeight="false" outlineLevel="0" collapsed="false">
      <c r="A61" s="11" t="n">
        <v>57</v>
      </c>
      <c r="B61" s="32" t="n">
        <f aca="false">'Start Here'!$B$4+A61-1</f>
        <v>46366</v>
      </c>
      <c r="C61" s="23"/>
      <c r="D61" s="23"/>
      <c r="E61" s="24"/>
      <c r="F61" s="23"/>
      <c r="G61" s="23"/>
      <c r="H61" s="23"/>
      <c r="I61" s="23"/>
      <c r="J61" s="33" t="str">
        <f aca="false">IF(COUNT(F61:I61)&lt;4,"",ROUND(AVERAGE(F61:I61)*2,0)/2)</f>
        <v/>
      </c>
      <c r="K61" s="23"/>
      <c r="L61" s="24"/>
      <c r="M61" s="24"/>
    </row>
    <row r="62" customFormat="false" ht="15" hidden="false" customHeight="false" outlineLevel="0" collapsed="false">
      <c r="A62" s="11" t="n">
        <v>58</v>
      </c>
      <c r="B62" s="32" t="n">
        <f aca="false">'Start Here'!$B$4+A62-1</f>
        <v>46367</v>
      </c>
      <c r="C62" s="23"/>
      <c r="D62" s="23"/>
      <c r="E62" s="24"/>
      <c r="F62" s="23"/>
      <c r="G62" s="23"/>
      <c r="H62" s="23"/>
      <c r="I62" s="23"/>
      <c r="J62" s="33" t="str">
        <f aca="false">IF(COUNT(F62:I62)&lt;4,"",ROUND(AVERAGE(F62:I62)*2,0)/2)</f>
        <v/>
      </c>
      <c r="K62" s="23"/>
      <c r="L62" s="24"/>
      <c r="M62" s="24"/>
    </row>
    <row r="63" customFormat="false" ht="15" hidden="false" customHeight="false" outlineLevel="0" collapsed="false">
      <c r="A63" s="11" t="n">
        <v>59</v>
      </c>
      <c r="B63" s="32" t="n">
        <f aca="false">'Start Here'!$B$4+A63-1</f>
        <v>46368</v>
      </c>
      <c r="C63" s="23"/>
      <c r="D63" s="23"/>
      <c r="E63" s="24"/>
      <c r="F63" s="23"/>
      <c r="G63" s="23"/>
      <c r="H63" s="23"/>
      <c r="I63" s="23"/>
      <c r="J63" s="33" t="str">
        <f aca="false">IF(COUNT(F63:I63)&lt;4,"",ROUND(AVERAGE(F63:I63)*2,0)/2)</f>
        <v/>
      </c>
      <c r="K63" s="23"/>
      <c r="L63" s="24"/>
      <c r="M63" s="24"/>
    </row>
    <row r="64" customFormat="false" ht="15" hidden="false" customHeight="false" outlineLevel="0" collapsed="false">
      <c r="A64" s="11" t="n">
        <v>60</v>
      </c>
      <c r="B64" s="32" t="n">
        <f aca="false">'Start Here'!$B$4+A64-1</f>
        <v>46369</v>
      </c>
      <c r="C64" s="23"/>
      <c r="D64" s="23"/>
      <c r="E64" s="24"/>
      <c r="F64" s="23"/>
      <c r="G64" s="23"/>
      <c r="H64" s="23"/>
      <c r="I64" s="23"/>
      <c r="J64" s="33" t="str">
        <f aca="false">IF(COUNT(F64:I64)&lt;4,"",ROUND(AVERAGE(F64:I64)*2,0)/2)</f>
        <v/>
      </c>
      <c r="K64" s="23"/>
      <c r="L64" s="24"/>
      <c r="M64" s="24"/>
    </row>
    <row r="66" customFormat="false" ht="15" hidden="false" customHeight="false" outlineLevel="0" collapsed="false">
      <c r="A66" s="35" t="s">
        <v>462</v>
      </c>
    </row>
    <row r="67" customFormat="false" ht="15" hidden="false" customHeight="false" outlineLevel="0" collapsed="false">
      <c r="A67" s="36" t="s">
        <v>463</v>
      </c>
      <c r="K67" s="37" t="n">
        <f aca="false">IFERROR(K5-LOOKUP(9.99E+307,K5:K64),"")</f>
        <v>0</v>
      </c>
      <c r="L67" s="18" t="s">
        <v>464</v>
      </c>
    </row>
  </sheetData>
  <dataValidations count="1">
    <dataValidation allowBlank="true" errorStyle="stop" operator="between" showDropDown="false" showErrorMessage="false" showInputMessage="false" sqref="C5:C64" type="list">
      <formula1>"ChatGPT,Gemini,Both"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44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1" t="s">
        <v>465</v>
      </c>
    </row>
    <row r="2" customFormat="false" ht="15" hidden="false" customHeight="false" outlineLevel="0" collapsed="false">
      <c r="A2" s="2" t="s">
        <v>466</v>
      </c>
    </row>
    <row r="3" customFormat="false" ht="15" hidden="false" customHeight="false" outlineLevel="0" collapsed="false">
      <c r="A3" s="35" t="s">
        <v>467</v>
      </c>
    </row>
    <row r="4" customFormat="false" ht="23.85" hidden="false" customHeight="false" outlineLevel="0" collapsed="false">
      <c r="A4" s="10" t="s">
        <v>47</v>
      </c>
      <c r="B4" s="10" t="s">
        <v>468</v>
      </c>
      <c r="C4" s="10" t="s">
        <v>469</v>
      </c>
      <c r="D4" s="10" t="s">
        <v>470</v>
      </c>
      <c r="E4" s="10" t="s">
        <v>471</v>
      </c>
      <c r="F4" s="10" t="s">
        <v>472</v>
      </c>
      <c r="G4" s="10" t="s">
        <v>473</v>
      </c>
    </row>
    <row r="5" customFormat="false" ht="15" hidden="false" customHeight="false" outlineLevel="0" collapsed="false">
      <c r="A5" s="32" t="n">
        <v>46310</v>
      </c>
      <c r="B5" s="5" t="s">
        <v>474</v>
      </c>
      <c r="C5" s="5" t="s">
        <v>475</v>
      </c>
      <c r="D5" s="5" t="s">
        <v>476</v>
      </c>
      <c r="E5" s="5" t="s">
        <v>477</v>
      </c>
      <c r="F5" s="5" t="s">
        <v>478</v>
      </c>
      <c r="G5" s="11" t="s">
        <v>479</v>
      </c>
    </row>
    <row r="6" customFormat="false" ht="15" hidden="false" customHeight="false" outlineLevel="0" collapsed="false">
      <c r="A6" s="38"/>
      <c r="B6" s="24"/>
      <c r="C6" s="24"/>
      <c r="D6" s="24"/>
      <c r="E6" s="24"/>
      <c r="F6" s="24"/>
      <c r="G6" s="24"/>
    </row>
    <row r="7" customFormat="false" ht="15" hidden="false" customHeight="false" outlineLevel="0" collapsed="false">
      <c r="A7" s="38"/>
      <c r="B7" s="24"/>
      <c r="C7" s="24"/>
      <c r="D7" s="24"/>
      <c r="E7" s="24"/>
      <c r="F7" s="24"/>
      <c r="G7" s="24"/>
    </row>
    <row r="8" customFormat="false" ht="15" hidden="false" customHeight="false" outlineLevel="0" collapsed="false">
      <c r="A8" s="38"/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A9" s="38"/>
      <c r="B9" s="24"/>
      <c r="C9" s="24"/>
      <c r="D9" s="24"/>
      <c r="E9" s="24"/>
      <c r="F9" s="24"/>
      <c r="G9" s="24"/>
    </row>
    <row r="10" customFormat="false" ht="15" hidden="false" customHeight="false" outlineLevel="0" collapsed="false">
      <c r="A10" s="38"/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A11" s="38"/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A12" s="38"/>
      <c r="B12" s="24"/>
      <c r="C12" s="24"/>
      <c r="D12" s="24"/>
      <c r="E12" s="24"/>
      <c r="F12" s="24"/>
      <c r="G12" s="24"/>
    </row>
    <row r="13" customFormat="false" ht="15" hidden="false" customHeight="false" outlineLevel="0" collapsed="false">
      <c r="A13" s="38"/>
      <c r="B13" s="24"/>
      <c r="C13" s="24"/>
      <c r="D13" s="24"/>
      <c r="E13" s="24"/>
      <c r="F13" s="24"/>
      <c r="G13" s="24"/>
    </row>
    <row r="14" customFormat="false" ht="15" hidden="false" customHeight="false" outlineLevel="0" collapsed="false">
      <c r="A14" s="38"/>
      <c r="B14" s="24"/>
      <c r="C14" s="24"/>
      <c r="D14" s="24"/>
      <c r="E14" s="24"/>
      <c r="F14" s="24"/>
      <c r="G14" s="24"/>
    </row>
    <row r="15" customFormat="false" ht="15" hidden="false" customHeight="false" outlineLevel="0" collapsed="false">
      <c r="A15" s="38"/>
      <c r="B15" s="24"/>
      <c r="C15" s="24"/>
      <c r="D15" s="24"/>
      <c r="E15" s="24"/>
      <c r="F15" s="24"/>
      <c r="G15" s="24"/>
    </row>
    <row r="16" customFormat="false" ht="15" hidden="false" customHeight="false" outlineLevel="0" collapsed="false">
      <c r="A16" s="38"/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A17" s="38"/>
      <c r="B17" s="24"/>
      <c r="C17" s="24"/>
      <c r="D17" s="24"/>
      <c r="E17" s="24"/>
      <c r="F17" s="24"/>
      <c r="G17" s="24"/>
    </row>
    <row r="18" customFormat="false" ht="15" hidden="false" customHeight="false" outlineLevel="0" collapsed="false">
      <c r="A18" s="38"/>
      <c r="B18" s="24"/>
      <c r="C18" s="24"/>
      <c r="D18" s="24"/>
      <c r="E18" s="24"/>
      <c r="F18" s="24"/>
      <c r="G18" s="24"/>
    </row>
    <row r="19" customFormat="false" ht="15" hidden="false" customHeight="false" outlineLevel="0" collapsed="false">
      <c r="A19" s="38"/>
      <c r="B19" s="24"/>
      <c r="C19" s="24"/>
      <c r="D19" s="24"/>
      <c r="E19" s="24"/>
      <c r="F19" s="24"/>
      <c r="G19" s="24"/>
    </row>
    <row r="20" customFormat="false" ht="15" hidden="false" customHeight="false" outlineLevel="0" collapsed="false">
      <c r="A20" s="38"/>
      <c r="B20" s="24"/>
      <c r="C20" s="24"/>
      <c r="D20" s="24"/>
      <c r="E20" s="24"/>
      <c r="F20" s="24"/>
      <c r="G20" s="24"/>
    </row>
    <row r="21" customFormat="false" ht="15" hidden="false" customHeight="false" outlineLevel="0" collapsed="false">
      <c r="A21" s="38"/>
      <c r="B21" s="24"/>
      <c r="C21" s="24"/>
      <c r="D21" s="24"/>
      <c r="E21" s="24"/>
      <c r="F21" s="24"/>
      <c r="G21" s="24"/>
    </row>
    <row r="22" customFormat="false" ht="15" hidden="false" customHeight="false" outlineLevel="0" collapsed="false">
      <c r="A22" s="38"/>
      <c r="B22" s="24"/>
      <c r="C22" s="24"/>
      <c r="D22" s="24"/>
      <c r="E22" s="24"/>
      <c r="F22" s="24"/>
      <c r="G22" s="24"/>
    </row>
    <row r="23" customFormat="false" ht="15" hidden="false" customHeight="false" outlineLevel="0" collapsed="false">
      <c r="A23" s="38"/>
      <c r="B23" s="24"/>
      <c r="C23" s="24"/>
      <c r="D23" s="24"/>
      <c r="E23" s="24"/>
      <c r="F23" s="24"/>
      <c r="G23" s="24"/>
    </row>
    <row r="24" customFormat="false" ht="15" hidden="false" customHeight="false" outlineLevel="0" collapsed="false">
      <c r="A24" s="38"/>
      <c r="B24" s="24"/>
      <c r="C24" s="24"/>
      <c r="D24" s="24"/>
      <c r="E24" s="24"/>
      <c r="F24" s="24"/>
      <c r="G24" s="24"/>
    </row>
    <row r="25" customFormat="false" ht="15" hidden="false" customHeight="false" outlineLevel="0" collapsed="false">
      <c r="A25" s="38"/>
      <c r="B25" s="24"/>
      <c r="C25" s="24"/>
      <c r="D25" s="24"/>
      <c r="E25" s="24"/>
      <c r="F25" s="24"/>
      <c r="G25" s="24"/>
    </row>
    <row r="26" customFormat="false" ht="15" hidden="false" customHeight="false" outlineLevel="0" collapsed="false">
      <c r="A26" s="38"/>
      <c r="B26" s="24"/>
      <c r="C26" s="24"/>
      <c r="D26" s="24"/>
      <c r="E26" s="24"/>
      <c r="F26" s="24"/>
      <c r="G26" s="24"/>
    </row>
    <row r="27" customFormat="false" ht="15" hidden="false" customHeight="false" outlineLevel="0" collapsed="false">
      <c r="A27" s="38"/>
      <c r="B27" s="24"/>
      <c r="C27" s="24"/>
      <c r="D27" s="24"/>
      <c r="E27" s="24"/>
      <c r="F27" s="24"/>
      <c r="G27" s="24"/>
    </row>
    <row r="28" customFormat="false" ht="15" hidden="false" customHeight="false" outlineLevel="0" collapsed="false">
      <c r="A28" s="38"/>
      <c r="B28" s="24"/>
      <c r="C28" s="24"/>
      <c r="D28" s="24"/>
      <c r="E28" s="24"/>
      <c r="F28" s="24"/>
      <c r="G28" s="24"/>
    </row>
    <row r="29" customFormat="false" ht="15" hidden="false" customHeight="false" outlineLevel="0" collapsed="false">
      <c r="A29" s="38"/>
      <c r="B29" s="24"/>
      <c r="C29" s="24"/>
      <c r="D29" s="24"/>
      <c r="E29" s="24"/>
      <c r="F29" s="24"/>
      <c r="G29" s="24"/>
    </row>
    <row r="30" customFormat="false" ht="15" hidden="false" customHeight="false" outlineLevel="0" collapsed="false">
      <c r="A30" s="38"/>
      <c r="B30" s="24"/>
      <c r="C30" s="24"/>
      <c r="D30" s="24"/>
      <c r="E30" s="24"/>
      <c r="F30" s="24"/>
      <c r="G30" s="24"/>
    </row>
    <row r="31" customFormat="false" ht="15" hidden="false" customHeight="false" outlineLevel="0" collapsed="false">
      <c r="A31" s="38"/>
      <c r="B31" s="24"/>
      <c r="C31" s="24"/>
      <c r="D31" s="24"/>
      <c r="E31" s="24"/>
      <c r="F31" s="24"/>
      <c r="G31" s="24"/>
    </row>
    <row r="32" customFormat="false" ht="15" hidden="false" customHeight="false" outlineLevel="0" collapsed="false">
      <c r="A32" s="38"/>
      <c r="B32" s="24"/>
      <c r="C32" s="24"/>
      <c r="D32" s="24"/>
      <c r="E32" s="24"/>
      <c r="F32" s="24"/>
      <c r="G32" s="24"/>
    </row>
    <row r="33" customFormat="false" ht="15" hidden="false" customHeight="false" outlineLevel="0" collapsed="false">
      <c r="A33" s="38"/>
      <c r="B33" s="24"/>
      <c r="C33" s="24"/>
      <c r="D33" s="24"/>
      <c r="E33" s="24"/>
      <c r="F33" s="24"/>
      <c r="G33" s="24"/>
    </row>
    <row r="34" customFormat="false" ht="15" hidden="false" customHeight="false" outlineLevel="0" collapsed="false">
      <c r="A34" s="38"/>
      <c r="B34" s="24"/>
      <c r="C34" s="24"/>
      <c r="D34" s="24"/>
      <c r="E34" s="24"/>
      <c r="F34" s="24"/>
      <c r="G34" s="24"/>
    </row>
    <row r="35" customFormat="false" ht="15" hidden="false" customHeight="false" outlineLevel="0" collapsed="false">
      <c r="A35" s="38"/>
      <c r="B35" s="24"/>
      <c r="C35" s="24"/>
      <c r="D35" s="24"/>
      <c r="E35" s="24"/>
      <c r="F35" s="24"/>
      <c r="G35" s="24"/>
    </row>
    <row r="36" customFormat="false" ht="15" hidden="false" customHeight="false" outlineLevel="0" collapsed="false">
      <c r="A36" s="38"/>
      <c r="B36" s="24"/>
      <c r="C36" s="24"/>
      <c r="D36" s="24"/>
      <c r="E36" s="24"/>
      <c r="F36" s="24"/>
      <c r="G36" s="24"/>
    </row>
    <row r="37" customFormat="false" ht="15" hidden="false" customHeight="false" outlineLevel="0" collapsed="false">
      <c r="A37" s="38"/>
      <c r="B37" s="24"/>
      <c r="C37" s="24"/>
      <c r="D37" s="24"/>
      <c r="E37" s="24"/>
      <c r="F37" s="24"/>
      <c r="G37" s="24"/>
    </row>
    <row r="38" customFormat="false" ht="15" hidden="false" customHeight="false" outlineLevel="0" collapsed="false">
      <c r="A38" s="38"/>
      <c r="B38" s="24"/>
      <c r="C38" s="24"/>
      <c r="D38" s="24"/>
      <c r="E38" s="24"/>
      <c r="F38" s="24"/>
      <c r="G38" s="24"/>
    </row>
    <row r="39" customFormat="false" ht="15" hidden="false" customHeight="false" outlineLevel="0" collapsed="false">
      <c r="A39" s="38"/>
      <c r="B39" s="24"/>
      <c r="C39" s="24"/>
      <c r="D39" s="24"/>
      <c r="E39" s="24"/>
      <c r="F39" s="24"/>
      <c r="G39" s="24"/>
    </row>
    <row r="40" customFormat="false" ht="15" hidden="false" customHeight="false" outlineLevel="0" collapsed="false">
      <c r="A40" s="38"/>
      <c r="B40" s="24"/>
      <c r="C40" s="24"/>
      <c r="D40" s="24"/>
      <c r="E40" s="24"/>
      <c r="F40" s="24"/>
      <c r="G40" s="24"/>
    </row>
    <row r="41" customFormat="false" ht="15" hidden="false" customHeight="false" outlineLevel="0" collapsed="false">
      <c r="A41" s="38"/>
      <c r="B41" s="24"/>
      <c r="C41" s="24"/>
      <c r="D41" s="24"/>
      <c r="E41" s="24"/>
      <c r="F41" s="24"/>
      <c r="G41" s="24"/>
    </row>
    <row r="42" customFormat="false" ht="15" hidden="false" customHeight="false" outlineLevel="0" collapsed="false">
      <c r="A42" s="38"/>
      <c r="B42" s="24"/>
      <c r="C42" s="24"/>
      <c r="D42" s="24"/>
      <c r="E42" s="24"/>
      <c r="F42" s="24"/>
      <c r="G42" s="24"/>
    </row>
    <row r="43" customFormat="false" ht="15" hidden="false" customHeight="false" outlineLevel="0" collapsed="false">
      <c r="A43" s="38"/>
      <c r="B43" s="24"/>
      <c r="C43" s="24"/>
      <c r="D43" s="24"/>
      <c r="E43" s="24"/>
      <c r="F43" s="24"/>
      <c r="G43" s="24"/>
    </row>
    <row r="44" customFormat="false" ht="15" hidden="false" customHeight="false" outlineLevel="0" collapsed="false">
      <c r="A44" s="38"/>
      <c r="B44" s="24"/>
      <c r="C44" s="24"/>
      <c r="D44" s="24"/>
      <c r="E44" s="24"/>
      <c r="F44" s="24"/>
      <c r="G44" s="24"/>
    </row>
    <row r="45" customFormat="false" ht="15" hidden="false" customHeight="false" outlineLevel="0" collapsed="false">
      <c r="A45" s="38"/>
      <c r="B45" s="24"/>
      <c r="C45" s="24"/>
      <c r="D45" s="24"/>
      <c r="E45" s="24"/>
      <c r="F45" s="24"/>
      <c r="G45" s="24"/>
    </row>
    <row r="46" customFormat="false" ht="15" hidden="false" customHeight="false" outlineLevel="0" collapsed="false">
      <c r="A46" s="38"/>
      <c r="B46" s="24"/>
      <c r="C46" s="24"/>
      <c r="D46" s="24"/>
      <c r="E46" s="24"/>
      <c r="F46" s="24"/>
      <c r="G46" s="24"/>
    </row>
    <row r="47" customFormat="false" ht="15" hidden="false" customHeight="false" outlineLevel="0" collapsed="false">
      <c r="A47" s="38"/>
      <c r="B47" s="24"/>
      <c r="C47" s="24"/>
      <c r="D47" s="24"/>
      <c r="E47" s="24"/>
      <c r="F47" s="24"/>
      <c r="G47" s="24"/>
    </row>
    <row r="48" customFormat="false" ht="15" hidden="false" customHeight="false" outlineLevel="0" collapsed="false">
      <c r="A48" s="38"/>
      <c r="B48" s="24"/>
      <c r="C48" s="24"/>
      <c r="D48" s="24"/>
      <c r="E48" s="24"/>
      <c r="F48" s="24"/>
      <c r="G48" s="24"/>
    </row>
    <row r="49" customFormat="false" ht="15" hidden="false" customHeight="false" outlineLevel="0" collapsed="false">
      <c r="A49" s="38"/>
      <c r="B49" s="24"/>
      <c r="C49" s="24"/>
      <c r="D49" s="24"/>
      <c r="E49" s="24"/>
      <c r="F49" s="24"/>
      <c r="G49" s="24"/>
    </row>
    <row r="50" customFormat="false" ht="15" hidden="false" customHeight="false" outlineLevel="0" collapsed="false">
      <c r="A50" s="38"/>
      <c r="B50" s="24"/>
      <c r="C50" s="24"/>
      <c r="D50" s="24"/>
      <c r="E50" s="24"/>
      <c r="F50" s="24"/>
      <c r="G50" s="24"/>
    </row>
    <row r="51" customFormat="false" ht="15" hidden="false" customHeight="false" outlineLevel="0" collapsed="false">
      <c r="A51" s="38"/>
      <c r="B51" s="24"/>
      <c r="C51" s="24"/>
      <c r="D51" s="24"/>
      <c r="E51" s="24"/>
      <c r="F51" s="24"/>
      <c r="G51" s="24"/>
    </row>
    <row r="52" customFormat="false" ht="15" hidden="false" customHeight="false" outlineLevel="0" collapsed="false">
      <c r="A52" s="38"/>
      <c r="B52" s="24"/>
      <c r="C52" s="24"/>
      <c r="D52" s="24"/>
      <c r="E52" s="24"/>
      <c r="F52" s="24"/>
      <c r="G52" s="24"/>
    </row>
    <row r="53" customFormat="false" ht="15" hidden="false" customHeight="false" outlineLevel="0" collapsed="false">
      <c r="A53" s="38"/>
      <c r="B53" s="24"/>
      <c r="C53" s="24"/>
      <c r="D53" s="24"/>
      <c r="E53" s="24"/>
      <c r="F53" s="24"/>
      <c r="G53" s="24"/>
    </row>
    <row r="54" customFormat="false" ht="15" hidden="false" customHeight="false" outlineLevel="0" collapsed="false">
      <c r="A54" s="38"/>
      <c r="B54" s="24"/>
      <c r="C54" s="24"/>
      <c r="D54" s="24"/>
      <c r="E54" s="24"/>
      <c r="F54" s="24"/>
      <c r="G54" s="24"/>
    </row>
    <row r="55" customFormat="false" ht="15" hidden="false" customHeight="false" outlineLevel="0" collapsed="false">
      <c r="A55" s="38"/>
      <c r="B55" s="24"/>
      <c r="C55" s="24"/>
      <c r="D55" s="24"/>
      <c r="E55" s="24"/>
      <c r="F55" s="24"/>
      <c r="G55" s="24"/>
    </row>
    <row r="56" customFormat="false" ht="15" hidden="false" customHeight="false" outlineLevel="0" collapsed="false">
      <c r="A56" s="38"/>
      <c r="B56" s="24"/>
      <c r="C56" s="24"/>
      <c r="D56" s="24"/>
      <c r="E56" s="24"/>
      <c r="F56" s="24"/>
      <c r="G56" s="24"/>
    </row>
    <row r="57" customFormat="false" ht="15" hidden="false" customHeight="false" outlineLevel="0" collapsed="false">
      <c r="A57" s="38"/>
      <c r="B57" s="24"/>
      <c r="C57" s="24"/>
      <c r="D57" s="24"/>
      <c r="E57" s="24"/>
      <c r="F57" s="24"/>
      <c r="G57" s="24"/>
    </row>
    <row r="58" customFormat="false" ht="15" hidden="false" customHeight="false" outlineLevel="0" collapsed="false">
      <c r="A58" s="38"/>
      <c r="B58" s="24"/>
      <c r="C58" s="24"/>
      <c r="D58" s="24"/>
      <c r="E58" s="24"/>
      <c r="F58" s="24"/>
      <c r="G58" s="24"/>
    </row>
    <row r="59" customFormat="false" ht="15" hidden="false" customHeight="false" outlineLevel="0" collapsed="false">
      <c r="A59" s="38"/>
      <c r="B59" s="24"/>
      <c r="C59" s="24"/>
      <c r="D59" s="24"/>
      <c r="E59" s="24"/>
      <c r="F59" s="24"/>
      <c r="G59" s="24"/>
    </row>
    <row r="60" customFormat="false" ht="15" hidden="false" customHeight="false" outlineLevel="0" collapsed="false">
      <c r="A60" s="38"/>
      <c r="B60" s="24"/>
      <c r="C60" s="24"/>
      <c r="D60" s="24"/>
      <c r="E60" s="24"/>
      <c r="F60" s="24"/>
      <c r="G60" s="24"/>
    </row>
    <row r="61" customFormat="false" ht="15" hidden="false" customHeight="false" outlineLevel="0" collapsed="false">
      <c r="A61" s="38"/>
      <c r="B61" s="24"/>
      <c r="C61" s="24"/>
      <c r="D61" s="24"/>
      <c r="E61" s="24"/>
      <c r="F61" s="24"/>
      <c r="G61" s="24"/>
    </row>
    <row r="62" customFormat="false" ht="15" hidden="false" customHeight="false" outlineLevel="0" collapsed="false">
      <c r="A62" s="38"/>
      <c r="B62" s="24"/>
      <c r="C62" s="24"/>
      <c r="D62" s="24"/>
      <c r="E62" s="24"/>
      <c r="F62" s="24"/>
      <c r="G62" s="24"/>
    </row>
    <row r="63" customFormat="false" ht="15" hidden="false" customHeight="false" outlineLevel="0" collapsed="false">
      <c r="A63" s="38"/>
      <c r="B63" s="24"/>
      <c r="C63" s="24"/>
      <c r="D63" s="24"/>
      <c r="E63" s="24"/>
      <c r="F63" s="24"/>
      <c r="G63" s="24"/>
    </row>
    <row r="64" customFormat="false" ht="15" hidden="false" customHeight="false" outlineLevel="0" collapsed="false">
      <c r="A64" s="38"/>
      <c r="B64" s="24"/>
      <c r="C64" s="24"/>
      <c r="D64" s="24"/>
      <c r="E64" s="24"/>
      <c r="F64" s="24"/>
      <c r="G64" s="24"/>
    </row>
    <row r="65" customFormat="false" ht="15" hidden="false" customHeight="false" outlineLevel="0" collapsed="false">
      <c r="A65" s="38"/>
      <c r="B65" s="24"/>
      <c r="C65" s="24"/>
      <c r="D65" s="24"/>
      <c r="E65" s="24"/>
      <c r="F65" s="24"/>
      <c r="G65" s="24"/>
    </row>
    <row r="66" customFormat="false" ht="15" hidden="false" customHeight="false" outlineLevel="0" collapsed="false">
      <c r="A66" s="38"/>
      <c r="B66" s="24"/>
      <c r="C66" s="24"/>
      <c r="D66" s="24"/>
      <c r="E66" s="24"/>
      <c r="F66" s="24"/>
      <c r="G66" s="24"/>
    </row>
    <row r="67" customFormat="false" ht="15" hidden="false" customHeight="false" outlineLevel="0" collapsed="false">
      <c r="A67" s="38"/>
      <c r="B67" s="24"/>
      <c r="C67" s="24"/>
      <c r="D67" s="24"/>
      <c r="E67" s="24"/>
      <c r="F67" s="24"/>
      <c r="G67" s="24"/>
    </row>
    <row r="68" customFormat="false" ht="15" hidden="false" customHeight="false" outlineLevel="0" collapsed="false">
      <c r="A68" s="38"/>
      <c r="B68" s="24"/>
      <c r="C68" s="24"/>
      <c r="D68" s="24"/>
      <c r="E68" s="24"/>
      <c r="F68" s="24"/>
      <c r="G68" s="24"/>
    </row>
    <row r="69" customFormat="false" ht="15" hidden="false" customHeight="false" outlineLevel="0" collapsed="false">
      <c r="A69" s="38"/>
      <c r="B69" s="24"/>
      <c r="C69" s="24"/>
      <c r="D69" s="24"/>
      <c r="E69" s="24"/>
      <c r="F69" s="24"/>
      <c r="G69" s="24"/>
    </row>
    <row r="70" customFormat="false" ht="15" hidden="false" customHeight="false" outlineLevel="0" collapsed="false">
      <c r="A70" s="38"/>
      <c r="B70" s="24"/>
      <c r="C70" s="24"/>
      <c r="D70" s="24"/>
      <c r="E70" s="24"/>
      <c r="F70" s="24"/>
      <c r="G70" s="24"/>
    </row>
    <row r="71" customFormat="false" ht="15" hidden="false" customHeight="false" outlineLevel="0" collapsed="false">
      <c r="A71" s="38"/>
      <c r="B71" s="24"/>
      <c r="C71" s="24"/>
      <c r="D71" s="24"/>
      <c r="E71" s="24"/>
      <c r="F71" s="24"/>
      <c r="G71" s="24"/>
    </row>
    <row r="72" customFormat="false" ht="15" hidden="false" customHeight="false" outlineLevel="0" collapsed="false">
      <c r="A72" s="38"/>
      <c r="B72" s="24"/>
      <c r="C72" s="24"/>
      <c r="D72" s="24"/>
      <c r="E72" s="24"/>
      <c r="F72" s="24"/>
      <c r="G72" s="24"/>
    </row>
    <row r="73" customFormat="false" ht="15" hidden="false" customHeight="false" outlineLevel="0" collapsed="false">
      <c r="A73" s="38"/>
      <c r="B73" s="24"/>
      <c r="C73" s="24"/>
      <c r="D73" s="24"/>
      <c r="E73" s="24"/>
      <c r="F73" s="24"/>
      <c r="G73" s="24"/>
    </row>
    <row r="74" customFormat="false" ht="15" hidden="false" customHeight="false" outlineLevel="0" collapsed="false">
      <c r="A74" s="38"/>
      <c r="B74" s="24"/>
      <c r="C74" s="24"/>
      <c r="D74" s="24"/>
      <c r="E74" s="24"/>
      <c r="F74" s="24"/>
      <c r="G74" s="24"/>
    </row>
    <row r="75" customFormat="false" ht="15" hidden="false" customHeight="false" outlineLevel="0" collapsed="false">
      <c r="A75" s="38"/>
      <c r="B75" s="24"/>
      <c r="C75" s="24"/>
      <c r="D75" s="24"/>
      <c r="E75" s="24"/>
      <c r="F75" s="24"/>
      <c r="G75" s="24"/>
    </row>
    <row r="76" customFormat="false" ht="15" hidden="false" customHeight="false" outlineLevel="0" collapsed="false">
      <c r="A76" s="38"/>
      <c r="B76" s="24"/>
      <c r="C76" s="24"/>
      <c r="D76" s="24"/>
      <c r="E76" s="24"/>
      <c r="F76" s="24"/>
      <c r="G76" s="24"/>
    </row>
    <row r="77" customFormat="false" ht="15" hidden="false" customHeight="false" outlineLevel="0" collapsed="false">
      <c r="A77" s="38"/>
      <c r="B77" s="24"/>
      <c r="C77" s="24"/>
      <c r="D77" s="24"/>
      <c r="E77" s="24"/>
      <c r="F77" s="24"/>
      <c r="G77" s="24"/>
    </row>
    <row r="78" customFormat="false" ht="15" hidden="false" customHeight="false" outlineLevel="0" collapsed="false">
      <c r="A78" s="38"/>
      <c r="B78" s="24"/>
      <c r="C78" s="24"/>
      <c r="D78" s="24"/>
      <c r="E78" s="24"/>
      <c r="F78" s="24"/>
      <c r="G78" s="24"/>
    </row>
    <row r="79" customFormat="false" ht="15" hidden="false" customHeight="false" outlineLevel="0" collapsed="false">
      <c r="A79" s="38"/>
      <c r="B79" s="24"/>
      <c r="C79" s="24"/>
      <c r="D79" s="24"/>
      <c r="E79" s="24"/>
      <c r="F79" s="24"/>
      <c r="G79" s="24"/>
    </row>
    <row r="80" customFormat="false" ht="15" hidden="false" customHeight="false" outlineLevel="0" collapsed="false">
      <c r="A80" s="38"/>
      <c r="B80" s="24"/>
      <c r="C80" s="24"/>
      <c r="D80" s="24"/>
      <c r="E80" s="24"/>
      <c r="F80" s="24"/>
      <c r="G80" s="24"/>
    </row>
    <row r="81" customFormat="false" ht="15" hidden="false" customHeight="false" outlineLevel="0" collapsed="false">
      <c r="A81" s="38"/>
      <c r="B81" s="24"/>
      <c r="C81" s="24"/>
      <c r="D81" s="24"/>
      <c r="E81" s="24"/>
      <c r="F81" s="24"/>
      <c r="G81" s="24"/>
    </row>
    <row r="82" customFormat="false" ht="15" hidden="false" customHeight="false" outlineLevel="0" collapsed="false">
      <c r="A82" s="38"/>
      <c r="B82" s="24"/>
      <c r="C82" s="24"/>
      <c r="D82" s="24"/>
      <c r="E82" s="24"/>
      <c r="F82" s="24"/>
      <c r="G82" s="24"/>
    </row>
    <row r="83" customFormat="false" ht="15" hidden="false" customHeight="false" outlineLevel="0" collapsed="false">
      <c r="A83" s="38"/>
      <c r="B83" s="24"/>
      <c r="C83" s="24"/>
      <c r="D83" s="24"/>
      <c r="E83" s="24"/>
      <c r="F83" s="24"/>
      <c r="G83" s="24"/>
    </row>
    <row r="84" customFormat="false" ht="15" hidden="false" customHeight="false" outlineLevel="0" collapsed="false">
      <c r="A84" s="38"/>
      <c r="B84" s="24"/>
      <c r="C84" s="24"/>
      <c r="D84" s="24"/>
      <c r="E84" s="24"/>
      <c r="F84" s="24"/>
      <c r="G84" s="24"/>
    </row>
    <row r="85" customFormat="false" ht="15" hidden="false" customHeight="false" outlineLevel="0" collapsed="false">
      <c r="A85" s="38"/>
      <c r="B85" s="24"/>
      <c r="C85" s="24"/>
      <c r="D85" s="24"/>
      <c r="E85" s="24"/>
      <c r="F85" s="24"/>
      <c r="G85" s="24"/>
    </row>
    <row r="86" customFormat="false" ht="15" hidden="false" customHeight="false" outlineLevel="0" collapsed="false">
      <c r="A86" s="38"/>
      <c r="B86" s="24"/>
      <c r="C86" s="24"/>
      <c r="D86" s="24"/>
      <c r="E86" s="24"/>
      <c r="F86" s="24"/>
      <c r="G86" s="24"/>
    </row>
    <row r="87" customFormat="false" ht="15" hidden="false" customHeight="false" outlineLevel="0" collapsed="false">
      <c r="A87" s="38"/>
      <c r="B87" s="24"/>
      <c r="C87" s="24"/>
      <c r="D87" s="24"/>
      <c r="E87" s="24"/>
      <c r="F87" s="24"/>
      <c r="G87" s="24"/>
    </row>
    <row r="88" customFormat="false" ht="15" hidden="false" customHeight="false" outlineLevel="0" collapsed="false">
      <c r="A88" s="38"/>
      <c r="B88" s="24"/>
      <c r="C88" s="24"/>
      <c r="D88" s="24"/>
      <c r="E88" s="24"/>
      <c r="F88" s="24"/>
      <c r="G88" s="24"/>
    </row>
    <row r="89" customFormat="false" ht="15" hidden="false" customHeight="false" outlineLevel="0" collapsed="false">
      <c r="A89" s="38"/>
      <c r="B89" s="24"/>
      <c r="C89" s="24"/>
      <c r="D89" s="24"/>
      <c r="E89" s="24"/>
      <c r="F89" s="24"/>
      <c r="G89" s="24"/>
    </row>
    <row r="90" customFormat="false" ht="15" hidden="false" customHeight="false" outlineLevel="0" collapsed="false">
      <c r="A90" s="38"/>
      <c r="B90" s="24"/>
      <c r="C90" s="24"/>
      <c r="D90" s="24"/>
      <c r="E90" s="24"/>
      <c r="F90" s="24"/>
      <c r="G90" s="24"/>
    </row>
    <row r="91" customFormat="false" ht="15" hidden="false" customHeight="false" outlineLevel="0" collapsed="false">
      <c r="A91" s="38"/>
      <c r="B91" s="24"/>
      <c r="C91" s="24"/>
      <c r="D91" s="24"/>
      <c r="E91" s="24"/>
      <c r="F91" s="24"/>
      <c r="G91" s="24"/>
    </row>
    <row r="92" customFormat="false" ht="15" hidden="false" customHeight="false" outlineLevel="0" collapsed="false">
      <c r="A92" s="38"/>
      <c r="B92" s="24"/>
      <c r="C92" s="24"/>
      <c r="D92" s="24"/>
      <c r="E92" s="24"/>
      <c r="F92" s="24"/>
      <c r="G92" s="24"/>
    </row>
    <row r="93" customFormat="false" ht="15" hidden="false" customHeight="false" outlineLevel="0" collapsed="false">
      <c r="A93" s="38"/>
      <c r="B93" s="24"/>
      <c r="C93" s="24"/>
      <c r="D93" s="24"/>
      <c r="E93" s="24"/>
      <c r="F93" s="24"/>
      <c r="G93" s="24"/>
    </row>
    <row r="94" customFormat="false" ht="15" hidden="false" customHeight="false" outlineLevel="0" collapsed="false">
      <c r="A94" s="38"/>
      <c r="B94" s="24"/>
      <c r="C94" s="24"/>
      <c r="D94" s="24"/>
      <c r="E94" s="24"/>
      <c r="F94" s="24"/>
      <c r="G94" s="24"/>
    </row>
    <row r="95" customFormat="false" ht="15" hidden="false" customHeight="false" outlineLevel="0" collapsed="false">
      <c r="A95" s="38"/>
      <c r="B95" s="24"/>
      <c r="C95" s="24"/>
      <c r="D95" s="24"/>
      <c r="E95" s="24"/>
      <c r="F95" s="24"/>
      <c r="G95" s="24"/>
    </row>
    <row r="96" customFormat="false" ht="15" hidden="false" customHeight="false" outlineLevel="0" collapsed="false">
      <c r="A96" s="38"/>
      <c r="B96" s="24"/>
      <c r="C96" s="24"/>
      <c r="D96" s="24"/>
      <c r="E96" s="24"/>
      <c r="F96" s="24"/>
      <c r="G96" s="24"/>
    </row>
    <row r="97" customFormat="false" ht="15" hidden="false" customHeight="false" outlineLevel="0" collapsed="false">
      <c r="A97" s="38"/>
      <c r="B97" s="24"/>
      <c r="C97" s="24"/>
      <c r="D97" s="24"/>
      <c r="E97" s="24"/>
      <c r="F97" s="24"/>
      <c r="G97" s="24"/>
    </row>
    <row r="98" customFormat="false" ht="15" hidden="false" customHeight="false" outlineLevel="0" collapsed="false">
      <c r="A98" s="38"/>
      <c r="B98" s="24"/>
      <c r="C98" s="24"/>
      <c r="D98" s="24"/>
      <c r="E98" s="24"/>
      <c r="F98" s="24"/>
      <c r="G98" s="24"/>
    </row>
    <row r="99" customFormat="false" ht="15" hidden="false" customHeight="false" outlineLevel="0" collapsed="false">
      <c r="A99" s="38"/>
      <c r="B99" s="24"/>
      <c r="C99" s="24"/>
      <c r="D99" s="24"/>
      <c r="E99" s="24"/>
      <c r="F99" s="24"/>
      <c r="G99" s="24"/>
    </row>
    <row r="100" customFormat="false" ht="15" hidden="false" customHeight="false" outlineLevel="0" collapsed="false">
      <c r="A100" s="38"/>
      <c r="B100" s="24"/>
      <c r="C100" s="24"/>
      <c r="D100" s="24"/>
      <c r="E100" s="24"/>
      <c r="F100" s="24"/>
      <c r="G100" s="24"/>
    </row>
    <row r="101" customFormat="false" ht="15" hidden="false" customHeight="false" outlineLevel="0" collapsed="false">
      <c r="A101" s="38"/>
      <c r="B101" s="24"/>
      <c r="C101" s="24"/>
      <c r="D101" s="24"/>
      <c r="E101" s="24"/>
      <c r="F101" s="24"/>
      <c r="G101" s="24"/>
    </row>
    <row r="102" customFormat="false" ht="15" hidden="false" customHeight="false" outlineLevel="0" collapsed="false">
      <c r="A102" s="38"/>
      <c r="B102" s="24"/>
      <c r="C102" s="24"/>
      <c r="D102" s="24"/>
      <c r="E102" s="24"/>
      <c r="F102" s="24"/>
      <c r="G102" s="24"/>
    </row>
    <row r="103" customFormat="false" ht="15" hidden="false" customHeight="false" outlineLevel="0" collapsed="false">
      <c r="A103" s="38"/>
      <c r="B103" s="24"/>
      <c r="C103" s="24"/>
      <c r="D103" s="24"/>
      <c r="E103" s="24"/>
      <c r="F103" s="24"/>
      <c r="G103" s="24"/>
    </row>
    <row r="104" customFormat="false" ht="15" hidden="false" customHeight="false" outlineLevel="0" collapsed="false">
      <c r="A104" s="38"/>
      <c r="B104" s="24"/>
      <c r="C104" s="24"/>
      <c r="D104" s="24"/>
      <c r="E104" s="24"/>
      <c r="F104" s="24"/>
      <c r="G104" s="24"/>
    </row>
    <row r="105" customFormat="false" ht="15" hidden="false" customHeight="false" outlineLevel="0" collapsed="false">
      <c r="A105" s="38"/>
      <c r="B105" s="24"/>
      <c r="C105" s="24"/>
      <c r="D105" s="24"/>
      <c r="E105" s="24"/>
      <c r="F105" s="24"/>
      <c r="G105" s="24"/>
    </row>
    <row r="106" customFormat="false" ht="15" hidden="false" customHeight="false" outlineLevel="0" collapsed="false">
      <c r="A106" s="38"/>
      <c r="B106" s="24"/>
      <c r="C106" s="24"/>
      <c r="D106" s="24"/>
      <c r="E106" s="24"/>
      <c r="F106" s="24"/>
      <c r="G106" s="24"/>
    </row>
    <row r="107" customFormat="false" ht="15" hidden="false" customHeight="false" outlineLevel="0" collapsed="false">
      <c r="A107" s="38"/>
      <c r="B107" s="24"/>
      <c r="C107" s="24"/>
      <c r="D107" s="24"/>
      <c r="E107" s="24"/>
      <c r="F107" s="24"/>
      <c r="G107" s="24"/>
    </row>
    <row r="108" customFormat="false" ht="15" hidden="false" customHeight="false" outlineLevel="0" collapsed="false">
      <c r="A108" s="38"/>
      <c r="B108" s="24"/>
      <c r="C108" s="24"/>
      <c r="D108" s="24"/>
      <c r="E108" s="24"/>
      <c r="F108" s="24"/>
      <c r="G108" s="24"/>
    </row>
    <row r="109" customFormat="false" ht="15" hidden="false" customHeight="false" outlineLevel="0" collapsed="false">
      <c r="A109" s="38"/>
      <c r="B109" s="24"/>
      <c r="C109" s="24"/>
      <c r="D109" s="24"/>
      <c r="E109" s="24"/>
      <c r="F109" s="24"/>
      <c r="G109" s="24"/>
    </row>
    <row r="110" customFormat="false" ht="15" hidden="false" customHeight="false" outlineLevel="0" collapsed="false">
      <c r="A110" s="38"/>
      <c r="B110" s="24"/>
      <c r="C110" s="24"/>
      <c r="D110" s="24"/>
      <c r="E110" s="24"/>
      <c r="F110" s="24"/>
      <c r="G110" s="24"/>
    </row>
    <row r="111" customFormat="false" ht="15" hidden="false" customHeight="false" outlineLevel="0" collapsed="false">
      <c r="A111" s="38"/>
      <c r="B111" s="24"/>
      <c r="C111" s="24"/>
      <c r="D111" s="24"/>
      <c r="E111" s="24"/>
      <c r="F111" s="24"/>
      <c r="G111" s="24"/>
    </row>
    <row r="112" customFormat="false" ht="15" hidden="false" customHeight="false" outlineLevel="0" collapsed="false">
      <c r="A112" s="38"/>
      <c r="B112" s="24"/>
      <c r="C112" s="24"/>
      <c r="D112" s="24"/>
      <c r="E112" s="24"/>
      <c r="F112" s="24"/>
      <c r="G112" s="24"/>
    </row>
    <row r="113" customFormat="false" ht="15" hidden="false" customHeight="false" outlineLevel="0" collapsed="false">
      <c r="A113" s="38"/>
      <c r="B113" s="24"/>
      <c r="C113" s="24"/>
      <c r="D113" s="24"/>
      <c r="E113" s="24"/>
      <c r="F113" s="24"/>
      <c r="G113" s="24"/>
    </row>
    <row r="114" customFormat="false" ht="15" hidden="false" customHeight="false" outlineLevel="0" collapsed="false">
      <c r="A114" s="38"/>
      <c r="B114" s="24"/>
      <c r="C114" s="24"/>
      <c r="D114" s="24"/>
      <c r="E114" s="24"/>
      <c r="F114" s="24"/>
      <c r="G114" s="24"/>
    </row>
    <row r="115" customFormat="false" ht="15" hidden="false" customHeight="false" outlineLevel="0" collapsed="false">
      <c r="A115" s="38"/>
      <c r="B115" s="24"/>
      <c r="C115" s="24"/>
      <c r="D115" s="24"/>
      <c r="E115" s="24"/>
      <c r="F115" s="24"/>
      <c r="G115" s="24"/>
    </row>
    <row r="116" customFormat="false" ht="15" hidden="false" customHeight="false" outlineLevel="0" collapsed="false">
      <c r="A116" s="38"/>
      <c r="B116" s="24"/>
      <c r="C116" s="24"/>
      <c r="D116" s="24"/>
      <c r="E116" s="24"/>
      <c r="F116" s="24"/>
      <c r="G116" s="24"/>
    </row>
    <row r="117" customFormat="false" ht="15" hidden="false" customHeight="false" outlineLevel="0" collapsed="false">
      <c r="A117" s="38"/>
      <c r="B117" s="24"/>
      <c r="C117" s="24"/>
      <c r="D117" s="24"/>
      <c r="E117" s="24"/>
      <c r="F117" s="24"/>
      <c r="G117" s="24"/>
    </row>
    <row r="118" customFormat="false" ht="15" hidden="false" customHeight="false" outlineLevel="0" collapsed="false">
      <c r="A118" s="38"/>
      <c r="B118" s="24"/>
      <c r="C118" s="24"/>
      <c r="D118" s="24"/>
      <c r="E118" s="24"/>
      <c r="F118" s="24"/>
      <c r="G118" s="24"/>
    </row>
    <row r="119" customFormat="false" ht="15" hidden="false" customHeight="false" outlineLevel="0" collapsed="false">
      <c r="A119" s="38"/>
      <c r="B119" s="24"/>
      <c r="C119" s="24"/>
      <c r="D119" s="24"/>
      <c r="E119" s="24"/>
      <c r="F119" s="24"/>
      <c r="G119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2026-10-14T08:39:44Z</dcterms:created>
  <dc:creator>openpyxl</dc:creator>
  <dc:description/>
  <dc:language>en-US</dc:language>
  <cp:lastModifiedBy/>
  <dcterms:modified xsi:type="dcterms:W3CDTF">2026-10-14T08:39:45Z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